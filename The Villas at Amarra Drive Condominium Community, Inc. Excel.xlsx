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updateLinks="never" codeName="ThisWorkbook"/>
  <mc:AlternateContent xmlns:mc="http://schemas.openxmlformats.org/markup-compatibility/2006">
    <mc:Choice Requires="x15">
      <x15ac:absPath xmlns:x15ac="http://schemas.microsoft.com/office/spreadsheetml/2010/11/ac" url="G:\Shared drives\2025\253212\2026_RS\Microsoft\Electronic Report Copy\"/>
    </mc:Choice>
  </mc:AlternateContent>
  <xr:revisionPtr revIDLastSave="0" documentId="13_ncr:1_{5B1EAE3C-53CF-4B83-9EA8-B7A45D2F3878}" xr6:coauthVersionLast="47" xr6:coauthVersionMax="47" xr10:uidLastSave="{00000000-0000-0000-0000-000000000000}"/>
  <bookViews>
    <workbookView xWindow="28680" yWindow="-120" windowWidth="29040" windowHeight="15720" activeTab="3" xr2:uid="{00000000-000D-0000-FFFF-FFFF00000000}"/>
  </bookViews>
  <sheets>
    <sheet name="Property Info" sheetId="2" r:id="rId1"/>
    <sheet name="Use Instructions" sheetId="5" r:id="rId2"/>
    <sheet name="Expenditures" sheetId="14" r:id="rId3"/>
    <sheet name="Funding Plan" sheetId="13" r:id="rId4"/>
  </sheets>
  <definedNames>
    <definedName name="Beginning_Reserve_Balance_Date">'Property Info'!$B$15</definedName>
    <definedName name="City_State" localSheetId="2">Expenditures!$N$6</definedName>
    <definedName name="City_State" localSheetId="3">'Funding Plan'!$C$6</definedName>
    <definedName name="Client_City">'Property Info'!$B$3</definedName>
    <definedName name="Client_Long">'Property Info'!$B$2</definedName>
    <definedName name="Client_State">'Property Info'!$B$4</definedName>
    <definedName name="contributions_year0" localSheetId="3">'Funding Plan'!$E$8</definedName>
    <definedName name="contributions_year1" localSheetId="3">'Funding Plan'!$F$8</definedName>
    <definedName name="contributions_year10" localSheetId="3">'Funding Plan'!$O$8</definedName>
    <definedName name="contributions_year11" localSheetId="3">'Funding Plan'!$P$8</definedName>
    <definedName name="contributions_year12" localSheetId="3">'Funding Plan'!$Q$8</definedName>
    <definedName name="contributions_year13" localSheetId="3">'Funding Plan'!$R$8</definedName>
    <definedName name="contributions_year14" localSheetId="3">'Funding Plan'!$S$8</definedName>
    <definedName name="contributions_year15" localSheetId="3">'Funding Plan'!$T$8</definedName>
    <definedName name="contributions_year16" localSheetId="3">'Funding Plan'!$F$29</definedName>
    <definedName name="contributions_year17" localSheetId="3">'Funding Plan'!$G$29</definedName>
    <definedName name="contributions_year18" localSheetId="3">'Funding Plan'!$H$29</definedName>
    <definedName name="contributions_year19" localSheetId="3">'Funding Plan'!$I$29</definedName>
    <definedName name="contributions_year2" localSheetId="3">'Funding Plan'!$G$8</definedName>
    <definedName name="contributions_year20" localSheetId="3">'Funding Plan'!$J$29</definedName>
    <definedName name="contributions_year21" localSheetId="3">'Funding Plan'!$K$29</definedName>
    <definedName name="contributions_year22" localSheetId="3">'Funding Plan'!$L$29</definedName>
    <definedName name="contributions_year23" localSheetId="3">'Funding Plan'!$M$29</definedName>
    <definedName name="contributions_year24" localSheetId="3">'Funding Plan'!$N$29</definedName>
    <definedName name="contributions_year25" localSheetId="3">'Funding Plan'!$O$29</definedName>
    <definedName name="contributions_year26" localSheetId="3">'Funding Plan'!$P$29</definedName>
    <definedName name="contributions_year27" localSheetId="3">'Funding Plan'!$Q$29</definedName>
    <definedName name="contributions_year28" localSheetId="3">'Funding Plan'!$R$29</definedName>
    <definedName name="contributions_year29" localSheetId="3">'Funding Plan'!$S$29</definedName>
    <definedName name="contributions_year3" localSheetId="3">'Funding Plan'!$H$8</definedName>
    <definedName name="contributions_year30" localSheetId="3">'Funding Plan'!$T$29</definedName>
    <definedName name="contributions_year4" localSheetId="3">'Funding Plan'!$I$8</definedName>
    <definedName name="contributions_year5" localSheetId="3">'Funding Plan'!$J$8</definedName>
    <definedName name="contributions_year6" localSheetId="3">'Funding Plan'!$K$8</definedName>
    <definedName name="contributions_year7" localSheetId="3">'Funding Plan'!$L$8</definedName>
    <definedName name="contributions_year8" localSheetId="3">'Funding Plan'!$M$8</definedName>
    <definedName name="contributions_year9" localSheetId="3">'Funding Plan'!$N$8</definedName>
    <definedName name="Currency_Symbol">'Property Info'!$B$22</definedName>
    <definedName name="Current_Fiscal_Year">'Property Info'!$B$10</definedName>
    <definedName name="Date_of_Inspection">'Property Info'!$B$9</definedName>
    <definedName name="expenditures0" localSheetId="2">Expenditures!$X$22</definedName>
    <definedName name="expenditures0">#REF!</definedName>
    <definedName name="expenditures1" localSheetId="2">Expenditures!$Y$22</definedName>
    <definedName name="expenditures1">#REF!</definedName>
    <definedName name="expenditures10" localSheetId="2">Expenditures!$AH$22</definedName>
    <definedName name="expenditures10">#REF!</definedName>
    <definedName name="expenditures11" localSheetId="2">Expenditures!$AI$22</definedName>
    <definedName name="expenditures11">#REF!</definedName>
    <definedName name="expenditures12" localSheetId="2">Expenditures!$AJ$22</definedName>
    <definedName name="expenditures12">#REF!</definedName>
    <definedName name="expenditures13" localSheetId="2">Expenditures!$AK$22</definedName>
    <definedName name="expenditures13">#REF!</definedName>
    <definedName name="expenditures14" localSheetId="2">Expenditures!$AL$22</definedName>
    <definedName name="expenditures14">#REF!</definedName>
    <definedName name="expenditures15" localSheetId="2">Expenditures!$AM$22</definedName>
    <definedName name="expenditures15">#REF!</definedName>
    <definedName name="expenditures16" localSheetId="2">Expenditures!$AN$22</definedName>
    <definedName name="expenditures16">#REF!</definedName>
    <definedName name="expenditures17" localSheetId="2">Expenditures!$AO$22</definedName>
    <definedName name="expenditures17">#REF!</definedName>
    <definedName name="expenditures18" localSheetId="2">Expenditures!$AP$22</definedName>
    <definedName name="expenditures18">#REF!</definedName>
    <definedName name="expenditures19" localSheetId="2">Expenditures!$AQ$22</definedName>
    <definedName name="expenditures19">#REF!</definedName>
    <definedName name="expenditures2" localSheetId="2">Expenditures!$Z$22</definedName>
    <definedName name="expenditures2">#REF!</definedName>
    <definedName name="expenditures20" localSheetId="2">Expenditures!$AR$22</definedName>
    <definedName name="expenditures20">#REF!</definedName>
    <definedName name="expenditures21" localSheetId="2">Expenditures!$AS$22</definedName>
    <definedName name="expenditures21">#REF!</definedName>
    <definedName name="expenditures22" localSheetId="2">Expenditures!$AT$22</definedName>
    <definedName name="expenditures22">#REF!</definedName>
    <definedName name="expenditures23" localSheetId="2">Expenditures!$AU$22</definedName>
    <definedName name="expenditures23">#REF!</definedName>
    <definedName name="expenditures24" localSheetId="2">Expenditures!$AV$22</definedName>
    <definedName name="expenditures24">#REF!</definedName>
    <definedName name="expenditures25" localSheetId="2">Expenditures!$AW$22</definedName>
    <definedName name="expenditures25">#REF!</definedName>
    <definedName name="expenditures26" localSheetId="2">Expenditures!$AX$22</definedName>
    <definedName name="expenditures26">#REF!</definedName>
    <definedName name="expenditures27" localSheetId="2">Expenditures!$AY$22</definedName>
    <definedName name="expenditures27">#REF!</definedName>
    <definedName name="expenditures28" localSheetId="2">Expenditures!$AZ$22</definedName>
    <definedName name="expenditures28">#REF!</definedName>
    <definedName name="expenditures29" localSheetId="2">Expenditures!$BA$22</definedName>
    <definedName name="expenditures29">#REF!</definedName>
    <definedName name="expenditures3" localSheetId="2">Expenditures!$AA$22</definedName>
    <definedName name="expenditures3">#REF!</definedName>
    <definedName name="expenditures30" localSheetId="2">Expenditures!$BB$22</definedName>
    <definedName name="expenditures30">#REF!</definedName>
    <definedName name="expenditures4" localSheetId="2">Expenditures!$AB$22</definedName>
    <definedName name="expenditures4">#REF!</definedName>
    <definedName name="expenditures5" localSheetId="2">Expenditures!$AC$22</definedName>
    <definedName name="expenditures5">#REF!</definedName>
    <definedName name="expenditures6" localSheetId="2">Expenditures!$AD$22</definedName>
    <definedName name="expenditures6">#REF!</definedName>
    <definedName name="expenditures7" localSheetId="2">Expenditures!$AE$22</definedName>
    <definedName name="expenditures7">#REF!</definedName>
    <definedName name="expenditures8" localSheetId="2">Expenditures!$AF$22</definedName>
    <definedName name="expenditures8">#REF!</definedName>
    <definedName name="expenditures9" localSheetId="2">Expenditures!$AG$22</definedName>
    <definedName name="expenditures9">#REF!</definedName>
    <definedName name="First_Year_of_Recommendation">'Property Info'!$B$12</definedName>
    <definedName name="Fiscal_Year_Beginning">'Property Info'!$B$11</definedName>
    <definedName name="flatlineAmount" localSheetId="3">'Funding Plan'!$N$21</definedName>
    <definedName name="flatlineAmount2" localSheetId="3">'Funding Plan'!$P$21</definedName>
    <definedName name="Frequency_of_Contributions_Number">'Property Info'!$B$21</definedName>
    <definedName name="Funding_Balance" localSheetId="3">'Funding Plan'!$Y$54</definedName>
    <definedName name="Funding_Current_Contributions" localSheetId="3">'Funding Plan'!$Y$57</definedName>
    <definedName name="Funding_DecreaseAmount" localSheetId="3">'Funding Plan'!$R$21</definedName>
    <definedName name="Funding_DecreaseAmount2" localSheetId="3">'Funding Plan'!$T$21</definedName>
    <definedName name="Funding_DecreaseYear" localSheetId="3">'Funding Plan'!$R$22</definedName>
    <definedName name="Funding_FlatBegin" localSheetId="3">'Funding Plan'!$N$22</definedName>
    <definedName name="Funding_FlatBegin2" localSheetId="3">'Funding Plan'!$P$22</definedName>
    <definedName name="Funding_FlatEnd" localSheetId="3">'Funding Plan'!$N$23</definedName>
    <definedName name="Funding_FlatEnd2" localSheetId="3">'Funding Plan'!$P$23</definedName>
    <definedName name="Funding_InitialFunding" localSheetId="3">'Funding Plan'!$J$21</definedName>
    <definedName name="Funding_Next_Contribitions" localSheetId="3">'Funding Plan'!$Y$58</definedName>
    <definedName name="Funding_PhasedAmount" localSheetId="3">'Funding Plan'!$L$21</definedName>
    <definedName name="Funding_PhaseNumbers" localSheetId="3">'Funding Plan'!$L$22</definedName>
    <definedName name="FundingDecreaseYear2" localSheetId="3">'Funding Plan'!$T$22</definedName>
    <definedName name="Inflation">'Property Info'!$B$19</definedName>
    <definedName name="Interest">'Property Info'!$B$20</definedName>
    <definedName name="Name1" localSheetId="2">Expenditures!$N$4</definedName>
    <definedName name="Name1" localSheetId="3">'Funding Plan'!$C$4</definedName>
    <definedName name="Name2" localSheetId="2">Expenditures!$N$5</definedName>
    <definedName name="Name2" localSheetId="3">'Funding Plan'!$C$5</definedName>
    <definedName name="Number_of_Buildings">'Property Info'!$B$8</definedName>
    <definedName name="Number_of_Units">'Property Info'!$B$7</definedName>
    <definedName name="Operating_Budget">'Property Info'!$B$24</definedName>
    <definedName name="_xlnm.Print_Area" localSheetId="1">'Use Instructions'!$A$7:$C$23</definedName>
    <definedName name="Property_Type">'Property Info'!$B$25</definedName>
    <definedName name="Reference_Number">'Property Info'!$B$5</definedName>
    <definedName name="Remaining_Budgeted_Months">'Property Info'!$B$13</definedName>
    <definedName name="Remaining_Interest_Months">'Property Info'!$B$14</definedName>
    <definedName name="Reserve_Balance_Projected?">'Property Info'!$B$16</definedName>
    <definedName name="rngBlank" localSheetId="2">Expenditures!$A$2008:$BB$2008</definedName>
    <definedName name="rngComponent" localSheetId="2">Expenditures!$A$2009:$BB$2009</definedName>
    <definedName name="Rounded_by">'Property Info'!$B$23</definedName>
    <definedName name="secondaryInflation">'Property Info'!$B$17</definedName>
    <definedName name="secondaryInflationYear">'Property Info'!$B$18</definedName>
    <definedName name="SheetName" localSheetId="2">Expenditures!$N$1</definedName>
    <definedName name="SheetName" localSheetId="3">'Funding Plan'!$C$2</definedName>
    <definedName name="Study_Length">'Property Info'!$B$6</definedName>
    <definedName name="Total_Study_Expenditures" localSheetId="2">Expenditures!$V$22</definedName>
    <definedName name="Total_Study_Expenditures">#REF!</definedName>
    <definedName name="version">'Property Info'!$B$1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 i="14" l="1"/>
  <c r="L20" i="14"/>
  <c r="T20" i="14" s="1"/>
  <c r="D20" i="14"/>
  <c r="U19" i="14"/>
  <c r="L19" i="14"/>
  <c r="T19" i="14" s="1"/>
  <c r="D19" i="14"/>
  <c r="Y19" i="14" s="1"/>
  <c r="Y18" i="14"/>
  <c r="U18" i="14"/>
  <c r="L18" i="14"/>
  <c r="T18" i="14" s="1"/>
  <c r="D18" i="14"/>
  <c r="U17" i="14"/>
  <c r="L17" i="14"/>
  <c r="T17" i="14" s="1"/>
  <c r="D17" i="14"/>
  <c r="U16" i="14"/>
  <c r="L16" i="14"/>
  <c r="T16" i="14" s="1"/>
  <c r="D16" i="14"/>
  <c r="U15" i="14"/>
  <c r="L15" i="14"/>
  <c r="T15" i="14" s="1"/>
  <c r="D15" i="14"/>
  <c r="U14" i="14"/>
  <c r="L14" i="14"/>
  <c r="T14" i="14" s="1"/>
  <c r="D14" i="14"/>
  <c r="U13" i="14"/>
  <c r="L13" i="14"/>
  <c r="T13" i="14" s="1"/>
  <c r="D13" i="14"/>
  <c r="A13" i="14"/>
  <c r="A16" i="14" s="1"/>
  <c r="A19" i="14" s="1"/>
  <c r="U12" i="14"/>
  <c r="L12" i="14"/>
  <c r="T12" i="14" s="1"/>
  <c r="D12" i="14"/>
  <c r="A12" i="14"/>
  <c r="A15" i="14" s="1"/>
  <c r="A18" i="14" s="1"/>
  <c r="A11" i="14"/>
  <c r="A14" i="14" s="1"/>
  <c r="A17" i="14" s="1"/>
  <c r="A20" i="14" s="1"/>
  <c r="U2009" i="14"/>
  <c r="L2009" i="14"/>
  <c r="T2009" i="14" s="1"/>
  <c r="D2009" i="14"/>
  <c r="A2009" i="14"/>
  <c r="A2008" i="14"/>
  <c r="X9" i="14"/>
  <c r="Y9" i="14" s="1"/>
  <c r="Y13" i="14" s="1"/>
  <c r="U9" i="14"/>
  <c r="T9" i="14"/>
  <c r="R9" i="14"/>
  <c r="Y5" i="14"/>
  <c r="Z2" i="14"/>
  <c r="Y2" i="14"/>
  <c r="D1002" i="13"/>
  <c r="E1002" i="13"/>
  <c r="F1002" i="13"/>
  <c r="G1002" i="13"/>
  <c r="H1002" i="13"/>
  <c r="I1002" i="13"/>
  <c r="J1002" i="13"/>
  <c r="K1002" i="13"/>
  <c r="L1002" i="13"/>
  <c r="M1002" i="13"/>
  <c r="N1002" i="13"/>
  <c r="O1002" i="13"/>
  <c r="P1002" i="13"/>
  <c r="Q1002" i="13"/>
  <c r="R1002" i="13"/>
  <c r="S1002" i="13"/>
  <c r="T1002" i="13"/>
  <c r="U1002" i="13"/>
  <c r="V1002" i="13"/>
  <c r="W1002" i="13"/>
  <c r="X1002" i="13"/>
  <c r="Y1002" i="13"/>
  <c r="Z1002" i="13"/>
  <c r="AA1002" i="13"/>
  <c r="AB1002" i="13"/>
  <c r="AC1002" i="13"/>
  <c r="AD1002" i="13"/>
  <c r="AE1002" i="13"/>
  <c r="AF1002" i="13"/>
  <c r="AG1002" i="13"/>
  <c r="AH1002" i="13"/>
  <c r="AH995" i="13"/>
  <c r="AG995" i="13"/>
  <c r="AF995" i="13"/>
  <c r="AE995" i="13"/>
  <c r="AD995" i="13"/>
  <c r="AC995" i="13"/>
  <c r="AB995" i="13"/>
  <c r="AA995" i="13"/>
  <c r="Z995" i="13"/>
  <c r="Y995" i="13"/>
  <c r="X995" i="13"/>
  <c r="W995" i="13"/>
  <c r="V995" i="13"/>
  <c r="U995" i="13"/>
  <c r="T995" i="13"/>
  <c r="S995" i="13"/>
  <c r="R995" i="13"/>
  <c r="Q995" i="13"/>
  <c r="P995" i="13"/>
  <c r="O995" i="13"/>
  <c r="N995" i="13"/>
  <c r="M995" i="13"/>
  <c r="L995" i="13"/>
  <c r="K995" i="13"/>
  <c r="J995" i="13"/>
  <c r="I995" i="13"/>
  <c r="H995" i="13"/>
  <c r="G995" i="13"/>
  <c r="F995" i="13"/>
  <c r="E995" i="13"/>
  <c r="D995" i="13"/>
  <c r="AH994" i="13"/>
  <c r="AG994" i="13"/>
  <c r="AF994" i="13"/>
  <c r="AE994" i="13"/>
  <c r="AD994" i="13"/>
  <c r="AC994" i="13"/>
  <c r="AB994" i="13"/>
  <c r="AA994" i="13"/>
  <c r="Z994" i="13"/>
  <c r="Y994" i="13"/>
  <c r="X994" i="13"/>
  <c r="W994" i="13"/>
  <c r="V994" i="13"/>
  <c r="U994" i="13"/>
  <c r="T994" i="13"/>
  <c r="S994" i="13"/>
  <c r="R994" i="13"/>
  <c r="Q994" i="13"/>
  <c r="P994" i="13"/>
  <c r="O994" i="13"/>
  <c r="N994" i="13"/>
  <c r="M994" i="13"/>
  <c r="L994" i="13"/>
  <c r="K994" i="13"/>
  <c r="J994" i="13"/>
  <c r="I994" i="13"/>
  <c r="H994" i="13"/>
  <c r="G994" i="13"/>
  <c r="F994" i="13"/>
  <c r="E994" i="13"/>
  <c r="D994" i="13"/>
  <c r="D993" i="13"/>
  <c r="D992" i="13"/>
  <c r="E992" i="13" s="1"/>
  <c r="F992" i="13" s="1"/>
  <c r="G992" i="13" s="1"/>
  <c r="H992" i="13" s="1"/>
  <c r="I992" i="13" s="1"/>
  <c r="J992" i="13" s="1"/>
  <c r="K992" i="13" s="1"/>
  <c r="L992" i="13" s="1"/>
  <c r="M992" i="13" s="1"/>
  <c r="N992" i="13" s="1"/>
  <c r="O992" i="13" s="1"/>
  <c r="P992" i="13" s="1"/>
  <c r="Q992" i="13" s="1"/>
  <c r="R992" i="13" s="1"/>
  <c r="S992" i="13" s="1"/>
  <c r="T992" i="13" s="1"/>
  <c r="U992" i="13" s="1"/>
  <c r="V992" i="13" s="1"/>
  <c r="W992" i="13" s="1"/>
  <c r="X992" i="13" s="1"/>
  <c r="Y992" i="13" s="1"/>
  <c r="Z992" i="13" s="1"/>
  <c r="AA992" i="13" s="1"/>
  <c r="AB992" i="13" s="1"/>
  <c r="AC992" i="13" s="1"/>
  <c r="AD992" i="13" s="1"/>
  <c r="AE992" i="13" s="1"/>
  <c r="AF992" i="13" s="1"/>
  <c r="AG992" i="13" s="1"/>
  <c r="AH992" i="13" s="1"/>
  <c r="Y62" i="13"/>
  <c r="Y61" i="13"/>
  <c r="Y60" i="13"/>
  <c r="Y59" i="13"/>
  <c r="K57" i="13"/>
  <c r="Y56" i="13"/>
  <c r="Y55" i="13"/>
  <c r="Y53" i="13"/>
  <c r="Y52" i="13"/>
  <c r="C46" i="13"/>
  <c r="B46" i="13"/>
  <c r="B45" i="13"/>
  <c r="T33" i="13"/>
  <c r="S33" i="13"/>
  <c r="R33" i="13"/>
  <c r="Q33" i="13"/>
  <c r="P33" i="13"/>
  <c r="O33" i="13"/>
  <c r="N33" i="13"/>
  <c r="M33" i="13"/>
  <c r="L33" i="13"/>
  <c r="K33" i="13"/>
  <c r="J33" i="13"/>
  <c r="I33" i="13"/>
  <c r="H33" i="13"/>
  <c r="G33" i="13"/>
  <c r="F33" i="13"/>
  <c r="T12" i="13"/>
  <c r="S12" i="13"/>
  <c r="R12" i="13"/>
  <c r="Q12" i="13"/>
  <c r="P12" i="13"/>
  <c r="O12" i="13"/>
  <c r="N12" i="13"/>
  <c r="M12" i="13"/>
  <c r="L12" i="13"/>
  <c r="K12" i="13"/>
  <c r="J12" i="13"/>
  <c r="I12" i="13"/>
  <c r="H12" i="13"/>
  <c r="G12" i="13"/>
  <c r="F12" i="13"/>
  <c r="E11" i="13"/>
  <c r="E8" i="13"/>
  <c r="F6" i="13"/>
  <c r="E6" i="13"/>
  <c r="X20" i="14" l="1"/>
  <c r="Y20" i="14"/>
  <c r="X18" i="14"/>
  <c r="X19" i="14"/>
  <c r="X17" i="14"/>
  <c r="Y17" i="14"/>
  <c r="Y16" i="14"/>
  <c r="X16" i="14"/>
  <c r="X15" i="14"/>
  <c r="Y15" i="14"/>
  <c r="X14" i="14"/>
  <c r="X2009" i="14"/>
  <c r="Y14" i="14"/>
  <c r="X7" i="14"/>
  <c r="X12" i="14"/>
  <c r="X13" i="14"/>
  <c r="Y2009" i="14"/>
  <c r="Z9" i="14"/>
  <c r="Y12" i="14"/>
  <c r="E12" i="13"/>
  <c r="E7" i="13"/>
  <c r="K59" i="13"/>
  <c r="K61" i="13" s="1"/>
  <c r="K63" i="13" s="1"/>
  <c r="K65" i="13" s="1"/>
  <c r="K67" i="13" s="1"/>
  <c r="K69" i="13" s="1"/>
  <c r="K71" i="13" s="1"/>
  <c r="K73" i="13" s="1"/>
  <c r="K75" i="13" s="1"/>
  <c r="N57" i="13"/>
  <c r="Y7" i="14"/>
  <c r="F8" i="13"/>
  <c r="G6" i="13"/>
  <c r="Z19" i="14" l="1"/>
  <c r="Z20" i="14"/>
  <c r="Z17" i="14"/>
  <c r="Z15" i="14"/>
  <c r="Z16" i="14"/>
  <c r="Z13" i="14"/>
  <c r="Z14" i="14"/>
  <c r="X22" i="14"/>
  <c r="H6" i="13"/>
  <c r="F11" i="13"/>
  <c r="L57" i="13" s="1"/>
  <c r="E993" i="13"/>
  <c r="Q57" i="13"/>
  <c r="Q59" i="13" s="1"/>
  <c r="Q61" i="13" s="1"/>
  <c r="Q63" i="13" s="1"/>
  <c r="Q65" i="13" s="1"/>
  <c r="Q67" i="13" s="1"/>
  <c r="Q69" i="13" s="1"/>
  <c r="Q71" i="13" s="1"/>
  <c r="Q73" i="13" s="1"/>
  <c r="Q75" i="13" s="1"/>
  <c r="N59" i="13"/>
  <c r="N61" i="13" s="1"/>
  <c r="N63" i="13" s="1"/>
  <c r="N65" i="13" s="1"/>
  <c r="N67" i="13" s="1"/>
  <c r="N69" i="13" s="1"/>
  <c r="N71" i="13" s="1"/>
  <c r="N73" i="13" s="1"/>
  <c r="N75" i="13" s="1"/>
  <c r="Y22" i="14"/>
  <c r="Z2009" i="14"/>
  <c r="AA9" i="14"/>
  <c r="AA20" i="14" s="1"/>
  <c r="Z7" i="14"/>
  <c r="Z18" i="14" s="1"/>
  <c r="Z12" i="14"/>
  <c r="D1001" i="13"/>
  <c r="G8" i="13"/>
  <c r="E1001" i="13"/>
  <c r="AA19" i="14" l="1"/>
  <c r="AA16" i="14"/>
  <c r="AA17" i="14"/>
  <c r="Z22" i="14"/>
  <c r="AA13" i="14"/>
  <c r="AA14" i="14"/>
  <c r="D1003" i="13"/>
  <c r="E1003" i="13"/>
  <c r="F993" i="13"/>
  <c r="G11" i="13"/>
  <c r="L59" i="13" s="1"/>
  <c r="AA12" i="14"/>
  <c r="AB9" i="14"/>
  <c r="AA7" i="14"/>
  <c r="AA15" i="14" s="1"/>
  <c r="AA2009" i="14"/>
  <c r="I6" i="13"/>
  <c r="F1001" i="13"/>
  <c r="H8" i="13"/>
  <c r="AB19" i="14" l="1"/>
  <c r="AB20" i="14"/>
  <c r="AA18" i="14"/>
  <c r="AA22" i="14" s="1"/>
  <c r="AB17" i="14"/>
  <c r="AB18" i="14"/>
  <c r="F1003" i="13"/>
  <c r="G14" i="13" s="1"/>
  <c r="AB15" i="14"/>
  <c r="AB16" i="14"/>
  <c r="AB13" i="14"/>
  <c r="AB14" i="14"/>
  <c r="D1005" i="13"/>
  <c r="E14" i="13"/>
  <c r="E13" i="13" s="1"/>
  <c r="E16" i="13" s="1"/>
  <c r="G993" i="13"/>
  <c r="H11" i="13"/>
  <c r="L61" i="13" s="1"/>
  <c r="J6" i="13"/>
  <c r="F14" i="13"/>
  <c r="E1005" i="13"/>
  <c r="AB12" i="14"/>
  <c r="AC9" i="14"/>
  <c r="AB7" i="14"/>
  <c r="AB2009" i="14"/>
  <c r="G1001" i="13"/>
  <c r="I8" i="13"/>
  <c r="AC19" i="14" l="1"/>
  <c r="AC20" i="14"/>
  <c r="AC17" i="14"/>
  <c r="AC18" i="14"/>
  <c r="AC15" i="14"/>
  <c r="AC16" i="14"/>
  <c r="G1003" i="13"/>
  <c r="H14" i="13" s="1"/>
  <c r="AC13" i="14"/>
  <c r="AC14" i="14"/>
  <c r="AB22" i="14"/>
  <c r="D996" i="13"/>
  <c r="F7" i="13"/>
  <c r="F13" i="13" s="1"/>
  <c r="F16" i="13" s="1"/>
  <c r="E996" i="13" s="1"/>
  <c r="H993" i="13"/>
  <c r="I11" i="13"/>
  <c r="L63" i="13" s="1"/>
  <c r="AC7" i="14"/>
  <c r="AC12" i="14" s="1"/>
  <c r="AC2009" i="14"/>
  <c r="AD9" i="14"/>
  <c r="K6" i="13"/>
  <c r="H1001" i="13"/>
  <c r="J8" i="13"/>
  <c r="AD19" i="14" l="1"/>
  <c r="AD20" i="14"/>
  <c r="AD17" i="14"/>
  <c r="AD18" i="14"/>
  <c r="AD15" i="14"/>
  <c r="AD16" i="14"/>
  <c r="H1003" i="13"/>
  <c r="I14" i="13" s="1"/>
  <c r="G7" i="13"/>
  <c r="G13" i="13" s="1"/>
  <c r="G16" i="13" s="1"/>
  <c r="M57" i="13"/>
  <c r="AD13" i="14"/>
  <c r="AD14" i="14"/>
  <c r="I993" i="13"/>
  <c r="J11" i="13"/>
  <c r="L65" i="13" s="1"/>
  <c r="AC22" i="14"/>
  <c r="AD12" i="14"/>
  <c r="AD7" i="14"/>
  <c r="AD2009" i="14"/>
  <c r="AE9" i="14"/>
  <c r="L6" i="13"/>
  <c r="I1001" i="13"/>
  <c r="K8" i="13"/>
  <c r="AE19" i="14" l="1"/>
  <c r="AE20" i="14"/>
  <c r="AE17" i="14"/>
  <c r="AE18" i="14"/>
  <c r="H1005" i="13"/>
  <c r="AE15" i="14"/>
  <c r="AE16" i="14"/>
  <c r="AD22" i="14"/>
  <c r="AE13" i="14"/>
  <c r="AE14" i="14"/>
  <c r="J993" i="13"/>
  <c r="K11" i="13"/>
  <c r="L67" i="13" s="1"/>
  <c r="I1003" i="13"/>
  <c r="AE12" i="14"/>
  <c r="AE7" i="14"/>
  <c r="AE2009" i="14"/>
  <c r="AF9" i="14"/>
  <c r="F996" i="13"/>
  <c r="F1005" i="13" s="1"/>
  <c r="M59" i="13"/>
  <c r="H7" i="13"/>
  <c r="M6" i="13"/>
  <c r="J1001" i="13"/>
  <c r="L8" i="13"/>
  <c r="AF19" i="14" l="1"/>
  <c r="AF17" i="14"/>
  <c r="AF18" i="14"/>
  <c r="AE22" i="14"/>
  <c r="J1003" i="13"/>
  <c r="K14" i="13" s="1"/>
  <c r="AF15" i="14"/>
  <c r="AF16" i="14"/>
  <c r="AF13" i="14"/>
  <c r="AF14" i="14"/>
  <c r="K993" i="13"/>
  <c r="L11" i="13"/>
  <c r="L69" i="13" s="1"/>
  <c r="J14" i="13"/>
  <c r="N6" i="13"/>
  <c r="H13" i="13"/>
  <c r="H16" i="13" s="1"/>
  <c r="AF2009" i="14"/>
  <c r="AF7" i="14"/>
  <c r="AF20" i="14" s="1"/>
  <c r="AF12" i="14"/>
  <c r="AG9" i="14"/>
  <c r="K1001" i="13"/>
  <c r="M8" i="13"/>
  <c r="AG19" i="14" l="1"/>
  <c r="AG20" i="14"/>
  <c r="AG17" i="14"/>
  <c r="AG18" i="14"/>
  <c r="K1003" i="13"/>
  <c r="K1005" i="13" s="1"/>
  <c r="J1005" i="13"/>
  <c r="AG15" i="14"/>
  <c r="AG16" i="14"/>
  <c r="AF22" i="14"/>
  <c r="AG13" i="14"/>
  <c r="AG14" i="14"/>
  <c r="M11" i="13"/>
  <c r="L71" i="13" s="1"/>
  <c r="L993" i="13"/>
  <c r="I7" i="13"/>
  <c r="M61" i="13"/>
  <c r="G996" i="13"/>
  <c r="G1005" i="13" s="1"/>
  <c r="O6" i="13"/>
  <c r="AG2009" i="14"/>
  <c r="AG7" i="14"/>
  <c r="AH9" i="14"/>
  <c r="AH20" i="14" s="1"/>
  <c r="AG12" i="14"/>
  <c r="L1001" i="13"/>
  <c r="N8" i="13"/>
  <c r="L14" i="13" l="1"/>
  <c r="AH18" i="14"/>
  <c r="AH19" i="14"/>
  <c r="AH16" i="14"/>
  <c r="L1003" i="13"/>
  <c r="M14" i="13" s="1"/>
  <c r="AG22" i="14"/>
  <c r="AH13" i="14"/>
  <c r="AH14" i="14"/>
  <c r="N11" i="13"/>
  <c r="L73" i="13" s="1"/>
  <c r="M993" i="13"/>
  <c r="I13" i="13"/>
  <c r="I16" i="13" s="1"/>
  <c r="AH2009" i="14"/>
  <c r="AH7" i="14"/>
  <c r="AH12" i="14" s="1"/>
  <c r="AI9" i="14"/>
  <c r="P6" i="13"/>
  <c r="M1001" i="13"/>
  <c r="O8" i="13"/>
  <c r="AI19" i="14" l="1"/>
  <c r="AI20" i="14"/>
  <c r="AI17" i="14"/>
  <c r="AI18" i="14"/>
  <c r="AH17" i="14"/>
  <c r="AI15" i="14"/>
  <c r="AI16" i="14"/>
  <c r="M1003" i="13"/>
  <c r="N14" i="13" s="1"/>
  <c r="AH15" i="14"/>
  <c r="AI13" i="14"/>
  <c r="AI14" i="14"/>
  <c r="O11" i="13"/>
  <c r="L75" i="13" s="1"/>
  <c r="N993" i="13"/>
  <c r="M63" i="13"/>
  <c r="J7" i="13"/>
  <c r="H996" i="13"/>
  <c r="Q6" i="13"/>
  <c r="AI2009" i="14"/>
  <c r="AI7" i="14"/>
  <c r="AJ9" i="14"/>
  <c r="AJ20" i="14" s="1"/>
  <c r="AI12" i="14"/>
  <c r="P8" i="13"/>
  <c r="AJ17" i="14" l="1"/>
  <c r="AH22" i="14"/>
  <c r="M1005" i="13"/>
  <c r="AJ15" i="14"/>
  <c r="AJ16" i="14"/>
  <c r="AI22" i="14"/>
  <c r="AJ13" i="14"/>
  <c r="AJ14" i="14"/>
  <c r="P11" i="13"/>
  <c r="O57" i="13" s="1"/>
  <c r="O993" i="13"/>
  <c r="J13" i="13"/>
  <c r="J16" i="13" s="1"/>
  <c r="AK9" i="14"/>
  <c r="AJ12" i="14"/>
  <c r="AJ2009" i="14"/>
  <c r="AJ7" i="14"/>
  <c r="AJ19" i="14" s="1"/>
  <c r="R6" i="13"/>
  <c r="N1001" i="13"/>
  <c r="O1001" i="13"/>
  <c r="Q8" i="13"/>
  <c r="AK19" i="14" l="1"/>
  <c r="AK20" i="14"/>
  <c r="AJ18" i="14"/>
  <c r="N1003" i="13"/>
  <c r="O14" i="13" s="1"/>
  <c r="AK17" i="14"/>
  <c r="AJ22" i="14"/>
  <c r="AK15" i="14"/>
  <c r="AK16" i="14"/>
  <c r="O1003" i="13"/>
  <c r="O1005" i="13" s="1"/>
  <c r="AK13" i="14"/>
  <c r="AK14" i="14"/>
  <c r="Q11" i="13"/>
  <c r="O59" i="13" s="1"/>
  <c r="P993" i="13"/>
  <c r="AK12" i="14"/>
  <c r="AK2009" i="14"/>
  <c r="AL9" i="14"/>
  <c r="AK7" i="14"/>
  <c r="AK18" i="14" s="1"/>
  <c r="I996" i="13"/>
  <c r="I1005" i="13" s="1"/>
  <c r="M65" i="13"/>
  <c r="K7" i="13"/>
  <c r="S6" i="13"/>
  <c r="P1001" i="13"/>
  <c r="R8" i="13"/>
  <c r="P14" i="13" l="1"/>
  <c r="AL19" i="14"/>
  <c r="AL20" i="14"/>
  <c r="AL17" i="14"/>
  <c r="AL18" i="14"/>
  <c r="P1003" i="13"/>
  <c r="Q14" i="13" s="1"/>
  <c r="AL15" i="14"/>
  <c r="AL16" i="14"/>
  <c r="AL13" i="14"/>
  <c r="AL14" i="14"/>
  <c r="AK22" i="14"/>
  <c r="Q993" i="13"/>
  <c r="R11" i="13"/>
  <c r="O61" i="13" s="1"/>
  <c r="AL12" i="14"/>
  <c r="AL2009" i="14"/>
  <c r="AM9" i="14"/>
  <c r="AL7" i="14"/>
  <c r="K13" i="13"/>
  <c r="K16" i="13" s="1"/>
  <c r="T6" i="13"/>
  <c r="Q1001" i="13"/>
  <c r="S8" i="13"/>
  <c r="AM19" i="14" l="1"/>
  <c r="AM20" i="14"/>
  <c r="AL22" i="14"/>
  <c r="AM17" i="14"/>
  <c r="AM18" i="14"/>
  <c r="AM15" i="14"/>
  <c r="AM16" i="14"/>
  <c r="Q1003" i="13"/>
  <c r="R993" i="13"/>
  <c r="S11" i="13"/>
  <c r="O63" i="13" s="1"/>
  <c r="J996" i="13"/>
  <c r="M67" i="13"/>
  <c r="L7" i="13"/>
  <c r="F27" i="13"/>
  <c r="AM2009" i="14"/>
  <c r="AN9" i="14"/>
  <c r="AM7" i="14"/>
  <c r="AM13" i="14" s="1"/>
  <c r="R1001" i="13"/>
  <c r="T8" i="13"/>
  <c r="AN19" i="14" l="1"/>
  <c r="AN20" i="14"/>
  <c r="R1003" i="13"/>
  <c r="R14" i="13"/>
  <c r="AN17" i="14"/>
  <c r="AN18" i="14"/>
  <c r="AN15" i="14"/>
  <c r="AN16" i="14"/>
  <c r="AN13" i="14"/>
  <c r="AN14" i="14"/>
  <c r="AM14" i="14"/>
  <c r="AM22" i="14" s="1"/>
  <c r="S993" i="13"/>
  <c r="T11" i="13"/>
  <c r="O65" i="13" s="1"/>
  <c r="AN12" i="14"/>
  <c r="AN2009" i="14"/>
  <c r="AO9" i="14"/>
  <c r="AO20" i="14" s="1"/>
  <c r="AN7" i="14"/>
  <c r="F29" i="13"/>
  <c r="G27" i="13"/>
  <c r="L13" i="13"/>
  <c r="L16" i="13" s="1"/>
  <c r="R1005" i="13"/>
  <c r="S14" i="13"/>
  <c r="S1001" i="13"/>
  <c r="AO18" i="14" l="1"/>
  <c r="AO19" i="14"/>
  <c r="AO16" i="14"/>
  <c r="AO17" i="14"/>
  <c r="AN22" i="14"/>
  <c r="S1003" i="13"/>
  <c r="T14" i="13" s="1"/>
  <c r="AO13" i="14"/>
  <c r="AO14" i="14"/>
  <c r="G29" i="13"/>
  <c r="H27" i="13"/>
  <c r="T993" i="13"/>
  <c r="F32" i="13"/>
  <c r="O67" i="13" s="1"/>
  <c r="AO12" i="14"/>
  <c r="AO2009" i="14"/>
  <c r="AP9" i="14"/>
  <c r="AO7" i="14"/>
  <c r="AO15" i="14" s="1"/>
  <c r="K996" i="13"/>
  <c r="M69" i="13"/>
  <c r="M7" i="13"/>
  <c r="T1001" i="13"/>
  <c r="AP19" i="14" l="1"/>
  <c r="AP20" i="14"/>
  <c r="AP17" i="14"/>
  <c r="AP18" i="14"/>
  <c r="T1003" i="13"/>
  <c r="T1005" i="13" s="1"/>
  <c r="AP15" i="14"/>
  <c r="AP16" i="14"/>
  <c r="AO22" i="14"/>
  <c r="AP13" i="14"/>
  <c r="AP14" i="14"/>
  <c r="M13" i="13"/>
  <c r="M16" i="13" s="1"/>
  <c r="AP12" i="14"/>
  <c r="AP2009" i="14"/>
  <c r="AQ9" i="14"/>
  <c r="AP7" i="14"/>
  <c r="H29" i="13"/>
  <c r="I27" i="13"/>
  <c r="G32" i="13"/>
  <c r="O69" i="13" s="1"/>
  <c r="U993" i="13"/>
  <c r="B26" i="2"/>
  <c r="U1001" i="13"/>
  <c r="AQ19" i="14" l="1"/>
  <c r="AQ20" i="14"/>
  <c r="AQ17" i="14"/>
  <c r="AQ18" i="14"/>
  <c r="AP22" i="14"/>
  <c r="F35" i="13"/>
  <c r="AQ15" i="14"/>
  <c r="AQ16" i="14"/>
  <c r="U1003" i="13"/>
  <c r="G35" i="13" s="1"/>
  <c r="AQ13" i="14"/>
  <c r="AQ14" i="14"/>
  <c r="I29" i="13"/>
  <c r="J27" i="13"/>
  <c r="V993" i="13"/>
  <c r="H32" i="13"/>
  <c r="O71" i="13" s="1"/>
  <c r="AR9" i="14"/>
  <c r="AQ7" i="14"/>
  <c r="AQ12" i="14"/>
  <c r="AQ2009" i="14"/>
  <c r="M71" i="13"/>
  <c r="L996" i="13"/>
  <c r="L1005" i="13" s="1"/>
  <c r="N7" i="13"/>
  <c r="V1001" i="13"/>
  <c r="AR19" i="14" l="1"/>
  <c r="AR20" i="14"/>
  <c r="V1003" i="13"/>
  <c r="V1005" i="13" s="1"/>
  <c r="AR17" i="14"/>
  <c r="AR18" i="14"/>
  <c r="AQ22" i="14"/>
  <c r="AR15" i="14"/>
  <c r="AR16" i="14"/>
  <c r="AR13" i="14"/>
  <c r="AR14" i="14"/>
  <c r="AR2009" i="14"/>
  <c r="AR7" i="14"/>
  <c r="AR12" i="14" s="1"/>
  <c r="AS9" i="14"/>
  <c r="J29" i="13"/>
  <c r="K27" i="13"/>
  <c r="W993" i="13"/>
  <c r="I32" i="13"/>
  <c r="O73" i="13" s="1"/>
  <c r="N13" i="13"/>
  <c r="N16" i="13" s="1"/>
  <c r="W1001" i="13"/>
  <c r="AS19" i="14" l="1"/>
  <c r="AS20" i="14"/>
  <c r="H35" i="13"/>
  <c r="AS17" i="14"/>
  <c r="AS18" i="14"/>
  <c r="W1003" i="13"/>
  <c r="I35" i="13" s="1"/>
  <c r="AR22" i="14"/>
  <c r="AS15" i="14"/>
  <c r="AS16" i="14"/>
  <c r="AS13" i="14"/>
  <c r="AS14" i="14"/>
  <c r="M996" i="13"/>
  <c r="O7" i="13"/>
  <c r="M73" i="13"/>
  <c r="L27" i="13"/>
  <c r="K29" i="13"/>
  <c r="X993" i="13"/>
  <c r="J32" i="13"/>
  <c r="O75" i="13" s="1"/>
  <c r="AS2009" i="14"/>
  <c r="AS7" i="14"/>
  <c r="AT9" i="14"/>
  <c r="AS12" i="14"/>
  <c r="X1001" i="13"/>
  <c r="W1005" i="13" l="1"/>
  <c r="AT19" i="14"/>
  <c r="AT20" i="14"/>
  <c r="AT17" i="14"/>
  <c r="X1003" i="13"/>
  <c r="J35" i="13" s="1"/>
  <c r="AT15" i="14"/>
  <c r="AT16" i="14"/>
  <c r="AS22" i="14"/>
  <c r="AT13" i="14"/>
  <c r="AT14" i="14"/>
  <c r="M27" i="13"/>
  <c r="O13" i="13"/>
  <c r="O16" i="13" s="1"/>
  <c r="AT2009" i="14"/>
  <c r="AT7" i="14"/>
  <c r="AT18" i="14" s="1"/>
  <c r="AU9" i="14"/>
  <c r="AT12" i="14"/>
  <c r="Y993" i="13"/>
  <c r="K32" i="13"/>
  <c r="R57" i="13" s="1"/>
  <c r="Y1001" i="13"/>
  <c r="L29" i="13"/>
  <c r="AU19" i="14" l="1"/>
  <c r="AU20" i="14"/>
  <c r="AU17" i="14"/>
  <c r="AT22" i="14"/>
  <c r="AU15" i="14"/>
  <c r="AU16" i="14"/>
  <c r="Y1003" i="13"/>
  <c r="Y1005" i="13" s="1"/>
  <c r="AU13" i="14"/>
  <c r="AU14" i="14"/>
  <c r="Z993" i="13"/>
  <c r="L32" i="13"/>
  <c r="R59" i="13" s="1"/>
  <c r="N996" i="13"/>
  <c r="N1005" i="13" s="1"/>
  <c r="P7" i="13"/>
  <c r="M75" i="13"/>
  <c r="AU2009" i="14"/>
  <c r="AU7" i="14"/>
  <c r="AU18" i="14" s="1"/>
  <c r="AV9" i="14"/>
  <c r="AU12" i="14"/>
  <c r="N27" i="13"/>
  <c r="Z1001" i="13"/>
  <c r="M29" i="13"/>
  <c r="AV19" i="14" l="1"/>
  <c r="AV20" i="14"/>
  <c r="K35" i="13"/>
  <c r="AV17" i="14"/>
  <c r="AV18" i="14"/>
  <c r="Z1003" i="13"/>
  <c r="L35" i="13" s="1"/>
  <c r="AU22" i="14"/>
  <c r="AV13" i="14"/>
  <c r="AV14" i="14"/>
  <c r="AA993" i="13"/>
  <c r="M32" i="13"/>
  <c r="R61" i="13" s="1"/>
  <c r="O27" i="13"/>
  <c r="AW9" i="14"/>
  <c r="AW20" i="14" s="1"/>
  <c r="AV12" i="14"/>
  <c r="AV7" i="14"/>
  <c r="AV16" i="14" s="1"/>
  <c r="AV2009" i="14"/>
  <c r="P13" i="13"/>
  <c r="P16" i="13" s="1"/>
  <c r="AA1001" i="13"/>
  <c r="N29" i="13"/>
  <c r="AW18" i="14" l="1"/>
  <c r="AW19" i="14"/>
  <c r="AW16" i="14"/>
  <c r="AA1003" i="13"/>
  <c r="AV22" i="14"/>
  <c r="AW13" i="14"/>
  <c r="AW14" i="14"/>
  <c r="AB993" i="13"/>
  <c r="N32" i="13"/>
  <c r="R63" i="13" s="1"/>
  <c r="P57" i="13"/>
  <c r="O996" i="13"/>
  <c r="Q7" i="13"/>
  <c r="AW7" i="14"/>
  <c r="AW12" i="14" s="1"/>
  <c r="AW2009" i="14"/>
  <c r="AX9" i="14"/>
  <c r="P27" i="13"/>
  <c r="AB1001" i="13"/>
  <c r="O29" i="13"/>
  <c r="AX19" i="14" l="1"/>
  <c r="AX20" i="14"/>
  <c r="AX17" i="14"/>
  <c r="AX18" i="14"/>
  <c r="AW17" i="14"/>
  <c r="AW22" i="14" s="1"/>
  <c r="AX15" i="14"/>
  <c r="AX16" i="14"/>
  <c r="M35" i="13"/>
  <c r="AB1003" i="13"/>
  <c r="N35" i="13" s="1"/>
  <c r="AX13" i="14"/>
  <c r="AX14" i="14"/>
  <c r="AC993" i="13"/>
  <c r="O32" i="13"/>
  <c r="R65" i="13" s="1"/>
  <c r="AX12" i="14"/>
  <c r="AX7" i="14"/>
  <c r="AY9" i="14"/>
  <c r="AX2009" i="14"/>
  <c r="Q13" i="13"/>
  <c r="Q16" i="13" s="1"/>
  <c r="Q27" i="13"/>
  <c r="AC1001" i="13"/>
  <c r="P29" i="13"/>
  <c r="AY19" i="14" l="1"/>
  <c r="AY20" i="14"/>
  <c r="AY17" i="14"/>
  <c r="AY18" i="14"/>
  <c r="AC1003" i="13"/>
  <c r="O35" i="13" s="1"/>
  <c r="AY15" i="14"/>
  <c r="AY16" i="14"/>
  <c r="AX22" i="14"/>
  <c r="AY13" i="14"/>
  <c r="AY14" i="14"/>
  <c r="P32" i="13"/>
  <c r="R67" i="13" s="1"/>
  <c r="AD993" i="13"/>
  <c r="R7" i="13"/>
  <c r="P996" i="13"/>
  <c r="P1005" i="13" s="1"/>
  <c r="P59" i="13"/>
  <c r="AY12" i="14"/>
  <c r="AY7" i="14"/>
  <c r="AY2009" i="14"/>
  <c r="AZ9" i="14"/>
  <c r="R27" i="13"/>
  <c r="AD1001" i="13"/>
  <c r="Q29" i="13"/>
  <c r="AZ19" i="14" l="1"/>
  <c r="AZ17" i="14"/>
  <c r="AZ18" i="14"/>
  <c r="AY22" i="14"/>
  <c r="AZ15" i="14"/>
  <c r="AZ16" i="14"/>
  <c r="AD1003" i="13"/>
  <c r="AD1005" i="13" s="1"/>
  <c r="AZ13" i="14"/>
  <c r="AZ14" i="14"/>
  <c r="Q32" i="13"/>
  <c r="R69" i="13" s="1"/>
  <c r="AE993" i="13"/>
  <c r="AZ12" i="14"/>
  <c r="AZ7" i="14"/>
  <c r="AZ20" i="14" s="1"/>
  <c r="AZ2009" i="14"/>
  <c r="BA9" i="14"/>
  <c r="R13" i="13"/>
  <c r="R16" i="13" s="1"/>
  <c r="S27" i="13"/>
  <c r="AE1001" i="13"/>
  <c r="R29" i="13"/>
  <c r="BA19" i="14" l="1"/>
  <c r="BA20" i="14"/>
  <c r="BA17" i="14"/>
  <c r="BA18" i="14"/>
  <c r="AE1003" i="13"/>
  <c r="Q35" i="13" s="1"/>
  <c r="P35" i="13"/>
  <c r="BA15" i="14"/>
  <c r="BA16" i="14"/>
  <c r="BA13" i="14"/>
  <c r="BA14" i="14"/>
  <c r="AZ22" i="14"/>
  <c r="AF993" i="13"/>
  <c r="R32" i="13"/>
  <c r="R71" i="13" s="1"/>
  <c r="S7" i="13"/>
  <c r="Q996" i="13"/>
  <c r="Q1005" i="13" s="1"/>
  <c r="P61" i="13"/>
  <c r="T27" i="13"/>
  <c r="BA12" i="14"/>
  <c r="BA7" i="14"/>
  <c r="BA2009" i="14"/>
  <c r="BB9" i="14"/>
  <c r="AF1001" i="13"/>
  <c r="S29" i="13"/>
  <c r="T29" i="13"/>
  <c r="AE1005" i="13" l="1"/>
  <c r="BB20" i="14"/>
  <c r="V20" i="14" s="1"/>
  <c r="O20" i="14"/>
  <c r="Q20" i="14" s="1"/>
  <c r="BB19" i="14"/>
  <c r="V19" i="14" s="1"/>
  <c r="O19" i="14"/>
  <c r="Q19" i="14" s="1"/>
  <c r="BB18" i="14"/>
  <c r="V18" i="14" s="1"/>
  <c r="O18" i="14"/>
  <c r="Q18" i="14" s="1"/>
  <c r="BA22" i="14"/>
  <c r="BB17" i="14"/>
  <c r="V17" i="14" s="1"/>
  <c r="O17" i="14"/>
  <c r="Q17" i="14" s="1"/>
  <c r="BB16" i="14"/>
  <c r="V16" i="14" s="1"/>
  <c r="O16" i="14"/>
  <c r="Q16" i="14" s="1"/>
  <c r="BB15" i="14"/>
  <c r="V15" i="14" s="1"/>
  <c r="O15" i="14"/>
  <c r="Q15" i="14" s="1"/>
  <c r="AF1003" i="13"/>
  <c r="R35" i="13" s="1"/>
  <c r="BB14" i="14"/>
  <c r="V14" i="14" s="1"/>
  <c r="O14" i="14"/>
  <c r="Q14" i="14" s="1"/>
  <c r="BB13" i="14"/>
  <c r="V13" i="14" s="1"/>
  <c r="O13" i="14"/>
  <c r="Q13" i="14" s="1"/>
  <c r="T32" i="13"/>
  <c r="R75" i="13" s="1"/>
  <c r="AH993" i="13"/>
  <c r="S32" i="13"/>
  <c r="R73" i="13" s="1"/>
  <c r="AG993" i="13"/>
  <c r="S13" i="13"/>
  <c r="S16" i="13" s="1"/>
  <c r="O12" i="14"/>
  <c r="Q12" i="14" s="1"/>
  <c r="BB7" i="14"/>
  <c r="BB12" i="14" s="1"/>
  <c r="BB2009" i="14"/>
  <c r="V2009" i="14" s="1"/>
  <c r="AG1001" i="13"/>
  <c r="AG1003" i="13" l="1"/>
  <c r="AG1005" i="13" s="1"/>
  <c r="BB22" i="14"/>
  <c r="V12" i="14"/>
  <c r="T7" i="13"/>
  <c r="P63" i="13"/>
  <c r="R996" i="13"/>
  <c r="O2009" i="14"/>
  <c r="Q2009" i="14" s="1"/>
  <c r="AH1001" i="13"/>
  <c r="S35" i="13" l="1"/>
  <c r="AH1003" i="13"/>
  <c r="T13" i="13"/>
  <c r="T16" i="13" s="1"/>
  <c r="V22" i="14"/>
  <c r="W19" i="14" l="1"/>
  <c r="W20" i="14"/>
  <c r="W17" i="14"/>
  <c r="W18" i="14"/>
  <c r="W15" i="14"/>
  <c r="W16" i="14"/>
  <c r="W13" i="14"/>
  <c r="W14" i="14"/>
  <c r="N22" i="14"/>
  <c r="W2009" i="14"/>
  <c r="P65" i="13"/>
  <c r="S996" i="13"/>
  <c r="S1005" i="13" s="1"/>
  <c r="F28" i="13"/>
  <c r="T35" i="13"/>
  <c r="W12" i="14"/>
  <c r="F34" i="13" l="1"/>
  <c r="F37" i="13" s="1"/>
  <c r="Y4" i="14"/>
  <c r="AJ1" i="14"/>
  <c r="G28" i="13" l="1"/>
  <c r="T996" i="13"/>
  <c r="P67" i="13"/>
  <c r="Z4" i="14"/>
  <c r="X4" i="14"/>
  <c r="X5" i="14" s="1"/>
  <c r="G34" i="13" l="1"/>
  <c r="G37" i="13" s="1"/>
  <c r="U996" i="13" l="1"/>
  <c r="U1005" i="13" s="1"/>
  <c r="P69" i="13"/>
  <c r="H28" i="13"/>
  <c r="H34" i="13" l="1"/>
  <c r="H37" i="13" s="1"/>
  <c r="V996" i="13" l="1"/>
  <c r="P71" i="13"/>
  <c r="I28" i="13"/>
  <c r="I34" i="13" l="1"/>
  <c r="I37" i="13" s="1"/>
  <c r="W996" i="13" l="1"/>
  <c r="P73" i="13"/>
  <c r="J28" i="13"/>
  <c r="J34" i="13" l="1"/>
  <c r="J37" i="13" s="1"/>
  <c r="K28" i="13" l="1"/>
  <c r="X996" i="13"/>
  <c r="X1005" i="13" s="1"/>
  <c r="P75" i="13"/>
  <c r="K34" i="13" l="1"/>
  <c r="K37" i="13" s="1"/>
  <c r="L28" i="13" l="1"/>
  <c r="S57" i="13"/>
  <c r="Y996" i="13"/>
  <c r="L34" i="13" l="1"/>
  <c r="L37" i="13" s="1"/>
  <c r="Z996" i="13" l="1"/>
  <c r="Z1005" i="13" s="1"/>
  <c r="S59" i="13"/>
  <c r="M28" i="13"/>
  <c r="M34" i="13" l="1"/>
  <c r="M37" i="13" s="1"/>
  <c r="AA996" i="13" l="1"/>
  <c r="AA1005" i="13" s="1"/>
  <c r="N28" i="13"/>
  <c r="S61" i="13"/>
  <c r="N34" i="13" l="1"/>
  <c r="N37" i="13" s="1"/>
  <c r="O28" i="13" l="1"/>
  <c r="AB996" i="13"/>
  <c r="AB1005" i="13" s="1"/>
  <c r="S63" i="13"/>
  <c r="O34" i="13" l="1"/>
  <c r="O37" i="13" s="1"/>
  <c r="P28" i="13" l="1"/>
  <c r="S65" i="13"/>
  <c r="AC996" i="13"/>
  <c r="AC1005" i="13" s="1"/>
  <c r="P34" i="13" l="1"/>
  <c r="P37" i="13" s="1"/>
  <c r="S67" i="13" l="1"/>
  <c r="Q28" i="13"/>
  <c r="AD996" i="13"/>
  <c r="Q34" i="13" l="1"/>
  <c r="Q37" i="13" s="1"/>
  <c r="S69" i="13" l="1"/>
  <c r="R28" i="13"/>
  <c r="AE996" i="13"/>
  <c r="R34" i="13" l="1"/>
  <c r="R37" i="13" s="1"/>
  <c r="S28" i="13" l="1"/>
  <c r="S71" i="13"/>
  <c r="AF996" i="13"/>
  <c r="AF1005" i="13" s="1"/>
  <c r="S34" i="13" l="1"/>
  <c r="S37" i="13" s="1"/>
  <c r="AG996" i="13" l="1"/>
  <c r="S73" i="13"/>
  <c r="T28" i="13"/>
  <c r="T34" i="13" l="1"/>
  <c r="T37" i="13" s="1"/>
  <c r="S75" i="13" l="1"/>
  <c r="AH996" i="13"/>
  <c r="AH1005" i="13" s="1"/>
  <c r="AI1004" i="13" s="1"/>
  <c r="E17" i="13" l="1"/>
  <c r="F17" i="13"/>
  <c r="G17" i="13"/>
  <c r="H17" i="13"/>
  <c r="I17" i="13"/>
  <c r="J17" i="13"/>
  <c r="K17" i="13"/>
  <c r="L17" i="13"/>
  <c r="M17" i="13"/>
  <c r="N17" i="13"/>
  <c r="O17" i="13"/>
  <c r="P17" i="13"/>
  <c r="Q17" i="13"/>
  <c r="R17" i="13"/>
  <c r="S17" i="13"/>
  <c r="T17" i="13"/>
  <c r="F38" i="13"/>
  <c r="G38" i="13"/>
  <c r="H38" i="13"/>
  <c r="I38" i="13"/>
  <c r="J38" i="13"/>
  <c r="K38" i="13"/>
  <c r="L38" i="13"/>
  <c r="M38" i="13"/>
  <c r="N38" i="13"/>
  <c r="O38" i="13"/>
  <c r="P38" i="13"/>
  <c r="Q38" i="13"/>
  <c r="R38" i="13"/>
  <c r="S38" i="13"/>
  <c r="T38" i="13"/>
  <c r="A48" i="13" l="1"/>
  <c r="B48" i="13"/>
</calcChain>
</file>

<file path=xl/sharedStrings.xml><?xml version="1.0" encoding="utf-8"?>
<sst xmlns="http://schemas.openxmlformats.org/spreadsheetml/2006/main" count="487" uniqueCount="224">
  <si>
    <t>Version:</t>
  </si>
  <si>
    <t>Association Name:</t>
  </si>
  <si>
    <t>City:</t>
  </si>
  <si>
    <t>State:</t>
  </si>
  <si>
    <t>Reference Number:</t>
  </si>
  <si>
    <t>Length of Study (Years):</t>
  </si>
  <si>
    <t>Number of Units:</t>
  </si>
  <si>
    <t>Date of Inspection:</t>
  </si>
  <si>
    <t>Current Fiscal Year:</t>
  </si>
  <si>
    <t>Fiscal Year Beginning:</t>
  </si>
  <si>
    <t>First Year of Recommendation:</t>
  </si>
  <si>
    <t>Remaining Budgeted Intervals:</t>
  </si>
  <si>
    <t>Remaining Budgeted Months of Interest:</t>
  </si>
  <si>
    <t>Beginning Reserve Balance Date:</t>
  </si>
  <si>
    <t>Reserve Balance Projected:</t>
  </si>
  <si>
    <t>Near Term Inflation:</t>
  </si>
  <si>
    <t>Last Year of Near Term Inflation:</t>
  </si>
  <si>
    <t>Remaining Study Inflation:</t>
  </si>
  <si>
    <t>Interest:</t>
  </si>
  <si>
    <t>Frequency of Contributions:</t>
  </si>
  <si>
    <t>Currency Symbol:</t>
  </si>
  <si>
    <t>Rounded_by:</t>
  </si>
  <si>
    <t>Operating_Budget:</t>
  </si>
  <si>
    <t>Property_Type:</t>
  </si>
  <si>
    <t>Expenditure Sheet Controls:</t>
  </si>
  <si>
    <t>Column Range Address</t>
  </si>
  <si>
    <t>Column Name</t>
  </si>
  <si>
    <t>Description</t>
  </si>
  <si>
    <t>Column C</t>
  </si>
  <si>
    <t>Frequency of Events</t>
  </si>
  <si>
    <t>Column E</t>
  </si>
  <si>
    <t>Events Per Phase</t>
  </si>
  <si>
    <t>This value can be edited to phase an event. Ex: The user wants to include three phases of an event.  The user would change the value in Column E to a value of "3".</t>
  </si>
  <si>
    <t>Column F</t>
  </si>
  <si>
    <t>Next Full Replacement</t>
  </si>
  <si>
    <t>Column G</t>
  </si>
  <si>
    <t>Useful Life</t>
  </si>
  <si>
    <t>Column R</t>
  </si>
  <si>
    <t>Costs $ (Unit)</t>
  </si>
  <si>
    <t>Column S</t>
  </si>
  <si>
    <t>Costs, $ (Percentage Ownership)</t>
  </si>
  <si>
    <t>Columns X through BB</t>
  </si>
  <si>
    <t>Years of Expenditures</t>
  </si>
  <si>
    <t>Funding Sheet Controls</t>
  </si>
  <si>
    <t>Range Address</t>
  </si>
  <si>
    <t>Cell L21</t>
  </si>
  <si>
    <t>Single Increase</t>
  </si>
  <si>
    <t>A dollar amount entered in this cell will show up in the Funding Plan as a Single Year increase in the first non-budgeted year.</t>
  </si>
  <si>
    <t>Cells N21 and N22</t>
  </si>
  <si>
    <t>Phased Increase</t>
  </si>
  <si>
    <t>A dollar amount (N21) and number of years (N22) entered in these cells will increase Reserve Contributions by the amount specified beginning in the first non-budgeted year and concluding in the number of years entered]</t>
  </si>
  <si>
    <t>Cells P21, P22 and P23</t>
  </si>
  <si>
    <t>Stable</t>
  </si>
  <si>
    <t>A dollar amount (P21), beginning year (P22) and ending year (P23) will stabilize Reserve Contributions over the specified year range</t>
  </si>
  <si>
    <t>Cells R21 and R22</t>
  </si>
  <si>
    <t>Decrease</t>
  </si>
  <si>
    <t>A dollar amount (R21), and a year (R22) will decrease the contributions to the specified amount in the specified year</t>
  </si>
  <si>
    <t>Cells T21 and T22</t>
  </si>
  <si>
    <t>2nd Decrease</t>
  </si>
  <si>
    <t>A dollar amount (T21), and a year (T22) will decrease the contributions to the specified amount in the specified year</t>
  </si>
  <si>
    <t>RESERVE EXPENDITURES</t>
  </si>
  <si>
    <t>Explanatory Notes:</t>
  </si>
  <si>
    <t>1)</t>
  </si>
  <si>
    <t>2)</t>
  </si>
  <si>
    <t>3)</t>
  </si>
  <si>
    <t xml:space="preserve"> </t>
  </si>
  <si>
    <t>Estimated</t>
  </si>
  <si>
    <t>Life Analysis,</t>
  </si>
  <si>
    <t>Costs, $</t>
  </si>
  <si>
    <t>Percentage</t>
  </si>
  <si>
    <t>Partial</t>
  </si>
  <si>
    <t>Frequency</t>
  </si>
  <si>
    <t>Length</t>
  </si>
  <si>
    <t>Events</t>
  </si>
  <si>
    <t>Next Full</t>
  </si>
  <si>
    <t>Useful</t>
  </si>
  <si>
    <t>Round</t>
  </si>
  <si>
    <t>Line</t>
  </si>
  <si>
    <t>Total</t>
  </si>
  <si>
    <t>Per Phase</t>
  </si>
  <si>
    <t>1st Year of</t>
  </si>
  <si>
    <t>Years</t>
  </si>
  <si>
    <t>Unit</t>
  </si>
  <si>
    <t>30-Year Total</t>
  </si>
  <si>
    <t>of Future</t>
  </si>
  <si>
    <t>Quantity</t>
  </si>
  <si>
    <t>of Events</t>
  </si>
  <si>
    <t>of Phase</t>
  </si>
  <si>
    <t xml:space="preserve"> Repl.</t>
  </si>
  <si>
    <t>Life</t>
  </si>
  <si>
    <t>Phase</t>
  </si>
  <si>
    <t>Item</t>
  </si>
  <si>
    <t>Units</t>
  </si>
  <si>
    <t>Reserve Component Inventory</t>
  </si>
  <si>
    <t>Event</t>
  </si>
  <si>
    <t>Remaining</t>
  </si>
  <si>
    <t>Ownership</t>
  </si>
  <si>
    <t>(Inflated)</t>
  </si>
  <si>
    <t>Expenditures</t>
  </si>
  <si>
    <t>-</t>
  </si>
  <si>
    <t>RESERVE FUNDING PLAN</t>
  </si>
  <si>
    <t/>
  </si>
  <si>
    <t>CASH FLOW ANALYSIS</t>
  </si>
  <si>
    <t>Individual Reserve Budgets &amp; Cash Flows for the Next 30 Years</t>
  </si>
  <si>
    <t>Reserves at Beginning of Year</t>
  </si>
  <si>
    <t>(Note 1)</t>
  </si>
  <si>
    <t xml:space="preserve">Recommended Reserve Contributions </t>
  </si>
  <si>
    <t>Additional Reserve Contributions</t>
  </si>
  <si>
    <t>Additional Assessment</t>
  </si>
  <si>
    <t>Total Recommended Reserve Contributions</t>
  </si>
  <si>
    <t>(Note 2)</t>
  </si>
  <si>
    <t xml:space="preserve">           Anticipated Interest Rate</t>
  </si>
  <si>
    <t>Estimated Interest Earned, During Year</t>
  </si>
  <si>
    <t>(Note 3)</t>
  </si>
  <si>
    <t>Anticipated Expenditures, By Year</t>
  </si>
  <si>
    <t>Anticipated Reserves at Year End</t>
  </si>
  <si>
    <t>Phased Increases</t>
  </si>
  <si>
    <t>Flatline</t>
  </si>
  <si>
    <t>Amount:</t>
  </si>
  <si>
    <t>Increase:</t>
  </si>
  <si>
    <t># Years:</t>
  </si>
  <si>
    <t>Begin Year:</t>
  </si>
  <si>
    <t>Year:</t>
  </si>
  <si>
    <t>End Year:</t>
  </si>
  <si>
    <t>(continued)</t>
  </si>
  <si>
    <t>Individual Reserve Budgets &amp; Cash Flows for the Next 30 Years, Continued</t>
  </si>
  <si>
    <t xml:space="preserve">Total Recommended Reserve Contributions </t>
  </si>
  <si>
    <t>4)</t>
  </si>
  <si>
    <t>Recommended Reserve Funding Table</t>
  </si>
  <si>
    <t>Funding Plan Settings</t>
  </si>
  <si>
    <t>First Non-Budgeted Year:</t>
  </si>
  <si>
    <t>Year</t>
  </si>
  <si>
    <t>Reserve Contributions</t>
  </si>
  <si>
    <t>Reserve Balances</t>
  </si>
  <si>
    <t>Reserve Balance ($):</t>
  </si>
  <si>
    <t>Reserve Balance Date:</t>
  </si>
  <si>
    <t>Current Year Contributions ($):</t>
  </si>
  <si>
    <t>Next Year Contributions ($):</t>
  </si>
  <si>
    <t>Inflation Rate:</t>
  </si>
  <si>
    <t>Remaining Budgeted Periods:</t>
  </si>
  <si>
    <t>Total Budgeted Periods:</t>
  </si>
  <si>
    <t>Round Funding To ($):</t>
  </si>
  <si>
    <t>Additional Assessments</t>
  </si>
  <si>
    <t>Reserve Balance</t>
  </si>
  <si>
    <t>Reference Expenditure Sheets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</si>
  <si>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</si>
  <si>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</si>
  <si>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</si>
  <si>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</si>
  <si>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</si>
  <si>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</si>
  <si>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</si>
  <si>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</si>
  <si>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</si>
  <si>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</si>
  <si>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</si>
  <si>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</si>
  <si>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</si>
  <si>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</si>
  <si>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</si>
  <si>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</si>
  <si>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</si>
  <si>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</si>
  <si>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</si>
  <si>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</si>
  <si>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</si>
  <si>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</si>
  <si>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</si>
  <si>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</si>
  <si>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</si>
  <si>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</si>
  <si>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</si>
  <si>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</si>
  <si>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</si>
  <si>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</si>
  <si>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</si>
  <si>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&lt; Copy Formula to a blank cell to show an Inflated Cost outside the regular timing intervals defined by columns B through G</t>
  </si>
  <si>
    <t>% Above Min For Threshold:</t>
  </si>
  <si>
    <t xml:space="preserve">If an event is phased using Column E, the user can control the years in between each phase of the component. </t>
  </si>
  <si>
    <t xml:space="preserve">This value can be edited to change the first year occurrence of an event. </t>
  </si>
  <si>
    <t>This value can be edited to change how often the event will occur after the initial event. Ex: The user wants to change the frequency of a replacement event from 20 years to 15 years.  The user would change the value in Column G to a value of "15".</t>
  </si>
  <si>
    <t>This value can be edited to update the per unit cost for a component. Ex: The user wants to update the unit cost for a component from $800.00 to $1,200.00. The user would change the value in Column R to a value of "1,200.00".</t>
  </si>
  <si>
    <t xml:space="preserve">IF APPLICABLE to your study, this column includes the percentage of ownership that the entity is responsible to pay. </t>
  </si>
  <si>
    <t xml:space="preserve">To apply an additional inflated expense in any year within these columns, Copy and Paste the Formula from cell Y5 onto the Line Item and in the year you would like to show the inflated cost. </t>
  </si>
  <si>
    <t>Number of Buildings:</t>
  </si>
  <si>
    <t>v7.0</t>
  </si>
  <si>
    <t xml:space="preserve">2nd Flatline </t>
  </si>
  <si>
    <t>The Villas at Amarra Drive Condominium Community, Inc.</t>
  </si>
  <si>
    <t>Austin</t>
  </si>
  <si>
    <t>Texas</t>
  </si>
  <si>
    <t>253212</t>
  </si>
  <si>
    <t>No</t>
  </si>
  <si>
    <t>$</t>
  </si>
  <si>
    <t>homeowners association</t>
  </si>
  <si>
    <t>The Villas at Amarra Drive</t>
  </si>
  <si>
    <t>Condominium Community, Inc.</t>
  </si>
  <si>
    <t>Austin, TX</t>
  </si>
  <si>
    <t>Year 2026 starting reserves are as of January 31, 2026; FY2026 starts January 1, 2026 and ends December 31, 2026.</t>
  </si>
  <si>
    <t>Accumulated year 2056 ending reserves consider the need to fund for subsequent repaving of the asphalt streets shortly after 2056, and the age, size, overall condition and complexity of the property.</t>
  </si>
  <si>
    <t>FY2026</t>
  </si>
  <si>
    <t>is Fiscal Year beginning January 1, 2026 and ending December 31, 2026.</t>
  </si>
  <si>
    <t>Property Site Elements</t>
  </si>
  <si>
    <t>Square Yards</t>
  </si>
  <si>
    <t>Asphalt Pavement, Streets, Crack Repairs, Patch and Seal Coat</t>
  </si>
  <si>
    <t>3 to 5</t>
  </si>
  <si>
    <t>Asphalt Pavement, Streets, Mill and Overlay</t>
  </si>
  <si>
    <t>15 to 25</t>
  </si>
  <si>
    <t>Linear Feet</t>
  </si>
  <si>
    <t>Concrete Curbs and Gutters, Partial</t>
  </si>
  <si>
    <t>to 65</t>
  </si>
  <si>
    <t>Fences, Steel, Paint Finishes</t>
  </si>
  <si>
    <t>6 to 8</t>
  </si>
  <si>
    <t>Fences, Steel, Replacement</t>
  </si>
  <si>
    <t>to 35</t>
  </si>
  <si>
    <t>Allowance</t>
  </si>
  <si>
    <t>Gate Entry System</t>
  </si>
  <si>
    <t>10 to 15</t>
  </si>
  <si>
    <t>Each</t>
  </si>
  <si>
    <t>Gate Operators, Phased</t>
  </si>
  <si>
    <t>to 10</t>
  </si>
  <si>
    <t>Gates</t>
  </si>
  <si>
    <t>to 20</t>
  </si>
  <si>
    <t>Signage, Monuments, Renovation</t>
  </si>
  <si>
    <t>15 to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</si>
</sst>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164" formatCode=";;;"/>
    <numFmt numFmtId="165" formatCode="[$$-409]#,##0_);[Red]\([$$-409]#,##0\)"/>
    <numFmt numFmtId="166" formatCode="&quot;RUL = &quot;0"/>
    <numFmt numFmtId="167" formatCode="&quot;FY&quot;0"/>
    <numFmt numFmtId="168" formatCode="0.0%"/>
    <numFmt numFmtId="169" formatCode="&quot;FY&quot;0000"/>
    <numFmt numFmtId="170" formatCode="0;[Red]\-0"/>
    <numFmt numFmtId="171" formatCode="0_);[Red]\(0\)"/>
    <numFmt numFmtId="172" formatCode="#,##0;[Red]\-#,##0"/>
    <numFmt numFmtId="173" formatCode="&quot;$&quot;#,##0;[Red]&quot;$&quot;#,##0"/>
    <numFmt numFmtId="174" formatCode="&quot;$&quot;#,##0"/>
    <numFmt numFmtId="175" formatCode="&quot;$&quot;#,##0.00"/>
    <numFmt numFmtId="176" formatCode="0.000"/>
    <numFmt numFmtId="177" formatCode="0.0"/>
  </numFmts>
  <fonts count="51" x14ac:knownFonts="1">
    <font>
      <sz val="11"/>
      <color theme="1"/>
      <name val="Calibri"/>
      <family val="2"/>
      <scheme val="minor"/>
    </font>
    <font>
      <sz val="11"/>
      <color theme="1"/>
      <name val="Calibri"/>
      <family val="2"/>
      <scheme val="minor"/>
    </font>
    <font>
      <sz val="8"/>
      <color rgb="FF013220"/>
      <name val="Arial Narrow"/>
      <family val="2"/>
    </font>
    <font>
      <sz val="14"/>
      <name val="Arial Narrow"/>
      <family val="2"/>
    </font>
    <font>
      <sz val="12"/>
      <name val="Arial"/>
      <family val="2"/>
    </font>
    <font>
      <b/>
      <sz val="14"/>
      <name val="Arial Narrow"/>
      <family val="2"/>
    </font>
    <font>
      <sz val="12"/>
      <name val="Arial Narrow"/>
      <family val="2"/>
    </font>
    <font>
      <b/>
      <u/>
      <sz val="24"/>
      <name val="Arial"/>
      <family val="2"/>
    </font>
    <font>
      <b/>
      <sz val="16"/>
      <name val="Arial Narrow"/>
      <family val="2"/>
    </font>
    <font>
      <b/>
      <sz val="18"/>
      <name val="Arial Narrow"/>
      <family val="2"/>
    </font>
    <font>
      <sz val="10"/>
      <name val="Arial"/>
      <family val="2"/>
    </font>
    <font>
      <sz val="11"/>
      <name val="Arial"/>
      <family val="2"/>
    </font>
    <font>
      <sz val="11"/>
      <color rgb="FF000000"/>
      <name val="Arial Narrow"/>
      <family val="2"/>
    </font>
    <font>
      <u/>
      <sz val="12"/>
      <name val="Arial"/>
      <family val="2"/>
    </font>
    <font>
      <sz val="11"/>
      <name val="Arial Narrow"/>
      <family val="2"/>
    </font>
    <font>
      <sz val="10"/>
      <name val="Arial Narrow"/>
      <family val="2"/>
    </font>
    <font>
      <sz val="14"/>
      <name val="Arial"/>
      <family val="2"/>
    </font>
    <font>
      <b/>
      <sz val="14"/>
      <name val="Arial"/>
      <family val="2"/>
    </font>
    <font>
      <b/>
      <u/>
      <sz val="14"/>
      <name val="Arial"/>
      <family val="2"/>
    </font>
    <font>
      <b/>
      <sz val="14"/>
      <color rgb="FF0000FF"/>
      <name val="Arial"/>
      <family val="2"/>
    </font>
    <font>
      <b/>
      <sz val="14"/>
      <color rgb="FF0000FF"/>
      <name val="Arial Narrow"/>
      <family val="2"/>
    </font>
    <font>
      <b/>
      <i/>
      <u/>
      <sz val="16"/>
      <color rgb="FF000000"/>
      <name val="Arial"/>
      <family val="2"/>
    </font>
    <font>
      <sz val="14"/>
      <color rgb="FF000000"/>
      <name val="Arial Narrow"/>
      <family val="2"/>
    </font>
    <font>
      <sz val="12"/>
      <color rgb="FF000000"/>
      <name val="Arial"/>
      <family val="2"/>
    </font>
    <font>
      <b/>
      <sz val="12"/>
      <name val="Arial"/>
      <family val="2"/>
    </font>
    <font>
      <sz val="14"/>
      <color theme="1"/>
      <name val="Arial Narrow"/>
      <family val="2"/>
    </font>
    <font>
      <b/>
      <sz val="14"/>
      <color rgb="FF000000"/>
      <name val="Arial Narrow"/>
      <family val="2"/>
    </font>
    <font>
      <b/>
      <sz val="14"/>
      <color theme="1"/>
      <name val="Arial Narrow"/>
      <family val="2"/>
    </font>
    <font>
      <sz val="24"/>
      <name val="Arial"/>
      <family val="2"/>
    </font>
    <font>
      <sz val="20"/>
      <color rgb="FF0000FF"/>
      <name val="Arial"/>
      <family val="2"/>
    </font>
    <font>
      <sz val="12"/>
      <color rgb="FFFF0000"/>
      <name val="Arial"/>
      <family val="2"/>
    </font>
    <font>
      <u/>
      <sz val="14"/>
      <name val="Arial Narrow"/>
      <family val="2"/>
    </font>
    <font>
      <b/>
      <i/>
      <sz val="14"/>
      <color rgb="FF310FFD"/>
      <name val="Arial Narrow"/>
      <family val="2"/>
    </font>
    <font>
      <u val="double"/>
      <sz val="14"/>
      <name val="Arial Narrow"/>
      <family val="2"/>
    </font>
    <font>
      <b/>
      <i/>
      <sz val="13"/>
      <color rgb="FF310FFD"/>
      <name val="Arial Narrow"/>
      <family val="2"/>
    </font>
    <font>
      <b/>
      <u/>
      <sz val="14"/>
      <name val="Arial Narrow"/>
      <family val="2"/>
    </font>
    <font>
      <b/>
      <sz val="14"/>
      <color rgb="FF310FFD"/>
      <name val="Arial Narrow"/>
      <family val="2"/>
    </font>
    <font>
      <b/>
      <sz val="18"/>
      <color theme="1"/>
      <name val="Calibri"/>
      <family val="2"/>
      <scheme val="minor"/>
    </font>
    <font>
      <b/>
      <sz val="12"/>
      <name val="Calibri Light"/>
      <family val="2"/>
      <scheme val="major"/>
    </font>
    <font>
      <b/>
      <sz val="12"/>
      <name val="Arial Narrow"/>
      <family val="2"/>
    </font>
    <font>
      <b/>
      <sz val="12"/>
      <color theme="1"/>
      <name val="Calibri Light"/>
      <family val="2"/>
      <scheme val="major"/>
    </font>
    <font>
      <sz val="12"/>
      <name val="Calibri Light"/>
      <family val="2"/>
      <scheme val="major"/>
    </font>
    <font>
      <sz val="12"/>
      <color indexed="8"/>
      <name val="Arial Narrow"/>
      <family val="2"/>
    </font>
    <font>
      <sz val="14"/>
      <color indexed="8"/>
      <name val="Arial Narrow"/>
      <family val="2"/>
    </font>
    <font>
      <b/>
      <sz val="11"/>
      <color theme="1"/>
      <name val="Calibri"/>
      <family val="2"/>
      <scheme val="minor"/>
    </font>
    <font>
      <sz val="10"/>
      <color rgb="FF013220"/>
      <name val="Arial Narrow"/>
      <family val="2"/>
    </font>
    <font>
      <sz val="11"/>
      <name val="Calibri"/>
      <family val="2"/>
      <scheme val="minor"/>
    </font>
    <font>
      <b/>
      <sz val="11"/>
      <name val="Calibri"/>
      <family val="2"/>
      <scheme val="minor"/>
    </font>
    <font>
      <b/>
      <sz val="14"/>
      <color theme="1"/>
      <name val="Arial"/>
      <family val="2"/>
    </font>
    <font>
      <sz val="11"/>
      <color rgb="FFFFFFFF"/>
      <name val="Calibri"/>
      <family val="2"/>
      <scheme val="minor"/>
    </font>
    <font>
      <b/>
      <u/>
      <sz val="14"/>
      <color theme="1"/>
      <name val="Arial Narrow"/>
      <family val="2"/>
    </font>
  </fonts>
  <fills count="10">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rgb="FFCCFFCC"/>
        <bgColor indexed="64"/>
      </patternFill>
    </fill>
    <fill>
      <patternFill patternType="solid">
        <fgColor rgb="FFCCFFCC"/>
        <bgColor rgb="FFFFFFFF"/>
      </patternFill>
    </fill>
    <fill>
      <patternFill patternType="solid">
        <fgColor rgb="FFC5D9F1"/>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41">
    <border>
      <left/>
      <right/>
      <top/>
      <bottom/>
      <diagonal/>
    </border>
    <border>
      <left/>
      <right/>
      <top style="thin">
        <color rgb="FF000000"/>
      </top>
      <bottom/>
      <diagonal/>
    </border>
    <border>
      <left/>
      <right/>
      <top/>
      <bottom style="thin">
        <color auto="1"/>
      </bottom>
      <diagonal/>
    </border>
    <border>
      <left/>
      <right/>
      <top/>
      <bottom style="thin">
        <color rgb="FF000000"/>
      </bottom>
      <diagonal/>
    </border>
    <border>
      <left/>
      <right/>
      <top style="medium">
        <color rgb="FF000000"/>
      </top>
      <bottom/>
      <diagonal/>
    </border>
    <border>
      <left/>
      <right/>
      <top style="medium">
        <color rgb="FF000000"/>
      </top>
      <bottom style="thin">
        <color indexed="64"/>
      </bottom>
      <diagonal/>
    </border>
    <border>
      <left/>
      <right/>
      <top style="thin">
        <color auto="1"/>
      </top>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9"/>
      </bottom>
      <diagonal/>
    </border>
    <border>
      <left style="medium">
        <color indexed="64"/>
      </left>
      <right/>
      <top/>
      <bottom style="thin">
        <color theme="9"/>
      </bottom>
      <diagonal/>
    </border>
    <border>
      <left/>
      <right style="medium">
        <color indexed="64"/>
      </right>
      <top/>
      <bottom style="thin">
        <color theme="9"/>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indexed="64"/>
      </left>
      <right/>
      <top style="medium">
        <color indexed="64"/>
      </top>
      <bottom style="medium">
        <color theme="9" tint="-0.499984740745262"/>
      </bottom>
      <diagonal/>
    </border>
    <border>
      <left/>
      <right/>
      <top style="medium">
        <color indexed="64"/>
      </top>
      <bottom style="medium">
        <color theme="9" tint="-0.499984740745262"/>
      </bottom>
      <diagonal/>
    </border>
    <border>
      <left/>
      <right style="medium">
        <color indexed="64"/>
      </right>
      <top style="medium">
        <color indexed="64"/>
      </top>
      <bottom style="medium">
        <color theme="9" tint="-0.499984740745262"/>
      </bottom>
      <diagonal/>
    </border>
  </borders>
  <cellStyleXfs count="2">
    <xf numFmtId="0" fontId="0" fillId="0" borderId="0"/>
    <xf numFmtId="9" fontId="1" fillId="0" borderId="0" applyFont="0" applyFill="0" applyBorder="0" applyAlignment="0" applyProtection="0"/>
  </cellStyleXfs>
  <cellXfs count="319">
    <xf numFmtId="0" fontId="0" fillId="0" borderId="0" xfId="0"/>
    <xf numFmtId="164" fontId="0" fillId="0" borderId="0" xfId="0" applyNumberFormat="1"/>
    <xf numFmtId="0" fontId="25" fillId="0" borderId="0" xfId="0" applyFont="1" applyAlignment="1">
      <alignment horizontal="fill" vertical="center"/>
    </xf>
    <xf numFmtId="0" fontId="25" fillId="0" borderId="0" xfId="0" applyFont="1"/>
    <xf numFmtId="0" fontId="27" fillId="0" borderId="0" xfId="0" applyFont="1"/>
    <xf numFmtId="0" fontId="25" fillId="0" borderId="0" xfId="0" applyFont="1" applyAlignment="1">
      <alignment vertical="center"/>
    </xf>
    <xf numFmtId="10" fontId="27" fillId="0" borderId="0" xfId="0" applyNumberFormat="1" applyFont="1"/>
    <xf numFmtId="0" fontId="25" fillId="3" borderId="0" xfId="0" applyFont="1" applyFill="1" applyAlignment="1">
      <alignment horizontal="center"/>
    </xf>
    <xf numFmtId="3" fontId="25" fillId="3" borderId="0" xfId="0" applyNumberFormat="1" applyFont="1" applyFill="1" applyAlignment="1">
      <alignment horizontal="center"/>
    </xf>
    <xf numFmtId="2" fontId="25" fillId="3" borderId="0" xfId="0" applyNumberFormat="1" applyFont="1" applyFill="1" applyAlignment="1">
      <alignment horizontal="center"/>
    </xf>
    <xf numFmtId="0" fontId="25" fillId="3" borderId="0" xfId="0" applyFont="1" applyFill="1"/>
    <xf numFmtId="3" fontId="25" fillId="2" borderId="0" xfId="0" applyNumberFormat="1" applyFont="1" applyFill="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25" fillId="3" borderId="0" xfId="0" applyFont="1" applyFill="1" applyAlignment="1">
      <alignment horizontal="fill" vertical="center"/>
    </xf>
    <xf numFmtId="165" fontId="25" fillId="3" borderId="0" xfId="0" applyNumberFormat="1" applyFont="1" applyFill="1" applyAlignment="1">
      <alignment horizontal="fill" vertical="center"/>
    </xf>
    <xf numFmtId="3" fontId="25" fillId="3" borderId="0" xfId="0" applyNumberFormat="1" applyFont="1" applyFill="1" applyAlignment="1">
      <alignment horizontal="fill" vertical="center"/>
    </xf>
    <xf numFmtId="9" fontId="25" fillId="3" borderId="0" xfId="0" applyNumberFormat="1" applyFont="1" applyFill="1" applyAlignment="1">
      <alignment horizontal="fill" vertical="center"/>
    </xf>
    <xf numFmtId="0" fontId="27" fillId="3" borderId="0" xfId="0" applyFont="1" applyFill="1"/>
    <xf numFmtId="165" fontId="22" fillId="5" borderId="1" xfId="0" applyNumberFormat="1" applyFont="1" applyFill="1" applyBorder="1" applyProtection="1">
      <protection locked="0"/>
    </xf>
    <xf numFmtId="165" fontId="22" fillId="5" borderId="0" xfId="0" applyNumberFormat="1" applyFont="1" applyFill="1" applyProtection="1">
      <protection locked="0"/>
    </xf>
    <xf numFmtId="165" fontId="26" fillId="5" borderId="1" xfId="0" applyNumberFormat="1" applyFont="1" applyFill="1" applyBorder="1" applyProtection="1">
      <protection locked="0"/>
    </xf>
    <xf numFmtId="37" fontId="22" fillId="5" borderId="1" xfId="0" applyNumberFormat="1" applyFont="1" applyFill="1" applyBorder="1" applyAlignment="1">
      <alignment horizontal="right"/>
    </xf>
    <xf numFmtId="165" fontId="26" fillId="5" borderId="0" xfId="0" applyNumberFormat="1" applyFont="1" applyFill="1" applyProtection="1">
      <protection locked="0"/>
    </xf>
    <xf numFmtId="37" fontId="22" fillId="5" borderId="0" xfId="0" applyNumberFormat="1" applyFont="1" applyFill="1" applyAlignment="1">
      <alignment horizontal="right"/>
    </xf>
    <xf numFmtId="165" fontId="22" fillId="5" borderId="3" xfId="0" applyNumberFormat="1" applyFont="1" applyFill="1" applyBorder="1" applyProtection="1">
      <protection locked="0"/>
    </xf>
    <xf numFmtId="165" fontId="32" fillId="5" borderId="1" xfId="0" applyNumberFormat="1" applyFont="1" applyFill="1" applyBorder="1" applyAlignment="1" applyProtection="1">
      <alignment horizontal="right"/>
      <protection locked="0"/>
    </xf>
    <xf numFmtId="37" fontId="26" fillId="5" borderId="1" xfId="0" applyNumberFormat="1" applyFont="1" applyFill="1" applyBorder="1" applyAlignment="1">
      <alignment horizontal="right"/>
    </xf>
    <xf numFmtId="165" fontId="22" fillId="5" borderId="6" xfId="0" applyNumberFormat="1" applyFont="1" applyFill="1" applyBorder="1" applyProtection="1">
      <protection locked="0"/>
    </xf>
    <xf numFmtId="3" fontId="26" fillId="5" borderId="1" xfId="0" applyNumberFormat="1" applyFont="1" applyFill="1" applyBorder="1" applyProtection="1">
      <protection locked="0"/>
    </xf>
    <xf numFmtId="3" fontId="26" fillId="5" borderId="0" xfId="0" applyNumberFormat="1" applyFont="1" applyFill="1" applyProtection="1">
      <protection locked="0"/>
    </xf>
    <xf numFmtId="165" fontId="22" fillId="5" borderId="2" xfId="0" applyNumberFormat="1" applyFont="1" applyFill="1" applyBorder="1" applyProtection="1">
      <protection locked="0"/>
    </xf>
    <xf numFmtId="165" fontId="26" fillId="5" borderId="7" xfId="0" applyNumberFormat="1" applyFont="1" applyFill="1" applyBorder="1" applyProtection="1">
      <protection locked="0"/>
    </xf>
    <xf numFmtId="165" fontId="5" fillId="2" borderId="1" xfId="0" applyNumberFormat="1" applyFont="1" applyFill="1" applyBorder="1"/>
    <xf numFmtId="165" fontId="4" fillId="2" borderId="1" xfId="0" applyNumberFormat="1" applyFont="1" applyFill="1" applyBorder="1"/>
    <xf numFmtId="1" fontId="3" fillId="2" borderId="1" xfId="0" applyNumberFormat="1" applyFont="1" applyFill="1" applyBorder="1"/>
    <xf numFmtId="10" fontId="3" fillId="2" borderId="1" xfId="0" applyNumberFormat="1" applyFont="1" applyFill="1" applyBorder="1" applyAlignment="1">
      <alignment horizontal="right"/>
    </xf>
    <xf numFmtId="165" fontId="3" fillId="2" borderId="1" xfId="0" applyNumberFormat="1" applyFont="1" applyFill="1" applyBorder="1"/>
    <xf numFmtId="169" fontId="0" fillId="0" borderId="0" xfId="0" applyNumberFormat="1"/>
    <xf numFmtId="0" fontId="38" fillId="0" borderId="0" xfId="0" applyFont="1"/>
    <xf numFmtId="0" fontId="0" fillId="0" borderId="19" xfId="0" applyBorder="1" applyAlignment="1">
      <alignment horizontal="left"/>
    </xf>
    <xf numFmtId="0" fontId="0" fillId="0" borderId="20" xfId="0" applyBorder="1" applyAlignment="1">
      <alignment horizontal="right"/>
    </xf>
    <xf numFmtId="49" fontId="0" fillId="0" borderId="20" xfId="0" applyNumberFormat="1" applyBorder="1" applyAlignment="1">
      <alignment horizontal="right"/>
    </xf>
    <xf numFmtId="0" fontId="2" fillId="0" borderId="0" xfId="0" applyFont="1" applyAlignment="1">
      <alignment vertical="center" wrapText="1"/>
    </xf>
    <xf numFmtId="0" fontId="46" fillId="0" borderId="0" xfId="0" applyFont="1" applyAlignment="1">
      <alignment horizontal="center"/>
    </xf>
    <xf numFmtId="0" fontId="46" fillId="0" borderId="19" xfId="0" applyFont="1" applyBorder="1" applyAlignment="1">
      <alignment horizontal="center"/>
    </xf>
    <xf numFmtId="0" fontId="46" fillId="0" borderId="20" xfId="0" applyFont="1" applyBorder="1" applyAlignment="1">
      <alignment horizontal="left"/>
    </xf>
    <xf numFmtId="0" fontId="46" fillId="0" borderId="19" xfId="0" applyFont="1" applyBorder="1" applyAlignment="1">
      <alignment horizontal="center" vertical="center"/>
    </xf>
    <xf numFmtId="0" fontId="46" fillId="0" borderId="0" xfId="0" applyFont="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23" xfId="0" applyFont="1" applyBorder="1" applyAlignment="1">
      <alignment horizontal="left" vertical="center" wrapText="1"/>
    </xf>
    <xf numFmtId="0" fontId="47" fillId="0" borderId="28" xfId="0" applyFont="1" applyBorder="1" applyAlignment="1">
      <alignment horizontal="center" vertical="center"/>
    </xf>
    <xf numFmtId="0" fontId="47" fillId="0" borderId="27" xfId="0" applyFont="1" applyBorder="1" applyAlignment="1">
      <alignment horizontal="center" vertical="center"/>
    </xf>
    <xf numFmtId="0" fontId="47" fillId="0" borderId="29" xfId="0" applyFont="1" applyBorder="1" applyAlignment="1">
      <alignment horizontal="left" vertical="center"/>
    </xf>
    <xf numFmtId="0" fontId="45" fillId="0" borderId="0" xfId="0" applyFont="1" applyAlignment="1">
      <alignment vertical="top" wrapText="1"/>
    </xf>
    <xf numFmtId="0" fontId="25" fillId="0" borderId="0" xfId="0" applyFont="1" applyAlignment="1">
      <alignment horizontal="center"/>
    </xf>
    <xf numFmtId="168" fontId="25" fillId="0" borderId="0" xfId="0" applyNumberFormat="1" applyFont="1"/>
    <xf numFmtId="3" fontId="25" fillId="0" borderId="0" xfId="0" applyNumberFormat="1" applyFont="1" applyAlignment="1">
      <alignment horizontal="center"/>
    </xf>
    <xf numFmtId="14" fontId="0" fillId="0" borderId="20" xfId="0" applyNumberFormat="1" applyBorder="1" applyAlignment="1">
      <alignment horizontal="right"/>
    </xf>
    <xf numFmtId="10" fontId="0" fillId="0" borderId="20" xfId="0" applyNumberFormat="1" applyBorder="1" applyAlignment="1">
      <alignment horizontal="right"/>
    </xf>
    <xf numFmtId="0" fontId="0" fillId="0" borderId="23" xfId="0" applyBorder="1" applyAlignment="1">
      <alignment horizontal="right"/>
    </xf>
    <xf numFmtId="176" fontId="0" fillId="0" borderId="0" xfId="0" applyNumberFormat="1"/>
    <xf numFmtId="176" fontId="25" fillId="3" borderId="0" xfId="0" applyNumberFormat="1" applyFont="1" applyFill="1"/>
    <xf numFmtId="176" fontId="25" fillId="0" borderId="0" xfId="0" applyNumberFormat="1" applyFont="1"/>
    <xf numFmtId="4" fontId="0" fillId="0" borderId="0" xfId="0" applyNumberFormat="1"/>
    <xf numFmtId="4" fontId="25" fillId="3" borderId="0" xfId="0" applyNumberFormat="1" applyFont="1" applyFill="1" applyAlignment="1">
      <alignment horizontal="fill" vertical="center"/>
    </xf>
    <xf numFmtId="4" fontId="25" fillId="3" borderId="0" xfId="0" applyNumberFormat="1" applyFont="1" applyFill="1"/>
    <xf numFmtId="4" fontId="25" fillId="0" borderId="0" xfId="0" applyNumberFormat="1" applyFont="1"/>
    <xf numFmtId="9" fontId="0" fillId="0" borderId="0" xfId="0" applyNumberFormat="1"/>
    <xf numFmtId="9" fontId="25" fillId="3" borderId="0" xfId="0" applyNumberFormat="1" applyFont="1" applyFill="1"/>
    <xf numFmtId="9" fontId="25" fillId="0" borderId="0" xfId="0" applyNumberFormat="1" applyFont="1" applyAlignment="1">
      <alignment horizontal="center"/>
    </xf>
    <xf numFmtId="3" fontId="0" fillId="0" borderId="0" xfId="0" applyNumberFormat="1"/>
    <xf numFmtId="3" fontId="25" fillId="3" borderId="0" xfId="0" applyNumberFormat="1" applyFont="1" applyFill="1"/>
    <xf numFmtId="3" fontId="25" fillId="0" borderId="0" xfId="0" applyNumberFormat="1" applyFont="1"/>
    <xf numFmtId="0" fontId="0" fillId="0" borderId="17" xfId="0" applyBorder="1"/>
    <xf numFmtId="0" fontId="0" fillId="0" borderId="21" xfId="0" applyBorder="1" applyAlignment="1">
      <alignment horizontal="left"/>
    </xf>
    <xf numFmtId="9" fontId="25" fillId="2" borderId="0" xfId="0" applyNumberFormat="1" applyFont="1" applyFill="1" applyAlignment="1">
      <alignment horizontal="center"/>
    </xf>
    <xf numFmtId="173" fontId="4" fillId="6" borderId="0" xfId="0" applyNumberFormat="1" applyFont="1" applyFill="1" applyAlignment="1">
      <alignment horizontal="center"/>
    </xf>
    <xf numFmtId="174" fontId="4" fillId="6" borderId="0" xfId="0" applyNumberFormat="1"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center" vertical="center"/>
    </xf>
    <xf numFmtId="173" fontId="4" fillId="6" borderId="34" xfId="0" applyNumberFormat="1" applyFont="1" applyFill="1" applyBorder="1" applyAlignment="1">
      <alignment horizontal="center"/>
    </xf>
    <xf numFmtId="0" fontId="4" fillId="6" borderId="34" xfId="0" applyFont="1" applyFill="1" applyBorder="1" applyAlignment="1">
      <alignment horizontal="center"/>
    </xf>
    <xf numFmtId="0" fontId="40" fillId="0" borderId="36" xfId="0" applyFont="1" applyBorder="1" applyAlignment="1">
      <alignment vertical="top" wrapText="1"/>
    </xf>
    <xf numFmtId="0" fontId="4" fillId="6" borderId="36" xfId="0" applyFont="1" applyFill="1" applyBorder="1" applyAlignment="1">
      <alignment horizontal="center"/>
    </xf>
    <xf numFmtId="9" fontId="5" fillId="2" borderId="0" xfId="0" applyNumberFormat="1" applyFont="1" applyFill="1" applyAlignment="1">
      <alignment horizontal="center"/>
    </xf>
    <xf numFmtId="0" fontId="5" fillId="2" borderId="0" xfId="0" applyFont="1" applyFill="1" applyAlignment="1">
      <alignment horizontal="center"/>
    </xf>
    <xf numFmtId="9" fontId="5" fillId="2" borderId="0" xfId="0" applyNumberFormat="1" applyFont="1" applyFill="1" applyAlignment="1">
      <alignment horizontal="center" shrinkToFit="1"/>
    </xf>
    <xf numFmtId="3" fontId="5" fillId="2" borderId="0" xfId="0" applyNumberFormat="1" applyFont="1" applyFill="1" applyAlignment="1">
      <alignment horizontal="center" shrinkToFit="1"/>
    </xf>
    <xf numFmtId="0" fontId="5" fillId="2" borderId="0" xfId="0" applyFont="1" applyFill="1" applyAlignment="1">
      <alignment horizontal="center" shrinkToFit="1"/>
    </xf>
    <xf numFmtId="0" fontId="5" fillId="2" borderId="0" xfId="0" applyFont="1" applyFill="1" applyAlignment="1">
      <alignment horizontal="center" vertical="center" shrinkToFit="1"/>
    </xf>
    <xf numFmtId="165" fontId="5" fillId="2" borderId="0" xfId="0" applyNumberFormat="1" applyFont="1" applyFill="1" applyAlignment="1">
      <alignment horizontal="center" vertical="center" shrinkToFit="1"/>
    </xf>
    <xf numFmtId="0" fontId="3" fillId="2" borderId="0" xfId="0" applyFont="1" applyFill="1" applyAlignment="1">
      <alignment horizontal="fill" vertical="center"/>
    </xf>
    <xf numFmtId="37" fontId="0" fillId="0" borderId="0" xfId="0" applyNumberFormat="1"/>
    <xf numFmtId="165" fontId="0" fillId="0" borderId="0" xfId="0" applyNumberFormat="1"/>
    <xf numFmtId="0" fontId="0" fillId="8" borderId="0" xfId="0" applyFill="1"/>
    <xf numFmtId="9" fontId="0" fillId="8" borderId="0" xfId="0" applyNumberFormat="1" applyFill="1"/>
    <xf numFmtId="9" fontId="3" fillId="8" borderId="0" xfId="0" applyNumberFormat="1" applyFont="1" applyFill="1"/>
    <xf numFmtId="0" fontId="3" fillId="8" borderId="0" xfId="0" applyFont="1" applyFill="1"/>
    <xf numFmtId="176" fontId="0" fillId="8" borderId="0" xfId="0" applyNumberFormat="1" applyFill="1"/>
    <xf numFmtId="3" fontId="0" fillId="8" borderId="0" xfId="0" applyNumberFormat="1" applyFill="1"/>
    <xf numFmtId="0" fontId="29" fillId="8" borderId="0" xfId="0" applyFont="1" applyFill="1" applyAlignment="1">
      <alignment horizontal="center"/>
    </xf>
    <xf numFmtId="4" fontId="0" fillId="8" borderId="0" xfId="0" applyNumberFormat="1" applyFill="1"/>
    <xf numFmtId="0" fontId="16" fillId="8" borderId="0" xfId="0" applyFont="1" applyFill="1"/>
    <xf numFmtId="0" fontId="18" fillId="8" borderId="0" xfId="0" applyFont="1" applyFill="1"/>
    <xf numFmtId="0" fontId="13" fillId="8" borderId="0" xfId="0" applyFont="1" applyFill="1" applyAlignment="1">
      <alignment horizontal="centerContinuous"/>
    </xf>
    <xf numFmtId="176" fontId="4" fillId="8" borderId="0" xfId="0" applyNumberFormat="1" applyFont="1" applyFill="1"/>
    <xf numFmtId="3" fontId="4" fillId="8" borderId="0" xfId="0" applyNumberFormat="1" applyFont="1" applyFill="1"/>
    <xf numFmtId="0" fontId="4" fillId="8" borderId="0" xfId="0" applyFont="1" applyFill="1"/>
    <xf numFmtId="0" fontId="7" fillId="8" borderId="0" xfId="0" applyFont="1" applyFill="1" applyAlignment="1">
      <alignment horizontal="center"/>
    </xf>
    <xf numFmtId="0" fontId="10" fillId="8" borderId="0" xfId="0" applyFont="1" applyFill="1" applyAlignment="1">
      <alignment horizontal="left"/>
    </xf>
    <xf numFmtId="0" fontId="12" fillId="8" borderId="0" xfId="0" applyFont="1" applyFill="1" applyAlignment="1">
      <alignment horizontal="center"/>
    </xf>
    <xf numFmtId="4" fontId="13" fillId="8" borderId="0" xfId="0" applyNumberFormat="1" applyFont="1" applyFill="1" applyAlignment="1">
      <alignment horizontal="centerContinuous"/>
    </xf>
    <xf numFmtId="9" fontId="13" fillId="8" borderId="0" xfId="0" applyNumberFormat="1" applyFont="1" applyFill="1" applyAlignment="1">
      <alignment horizontal="centerContinuous"/>
    </xf>
    <xf numFmtId="3" fontId="13" fillId="8" borderId="0" xfId="0" applyNumberFormat="1" applyFont="1" applyFill="1" applyAlignment="1">
      <alignment horizontal="centerContinuous"/>
    </xf>
    <xf numFmtId="0" fontId="17" fillId="8" borderId="0" xfId="0" applyFont="1" applyFill="1" applyAlignment="1">
      <alignment horizontal="right"/>
    </xf>
    <xf numFmtId="168" fontId="19" fillId="8" borderId="0" xfId="0" applyNumberFormat="1" applyFont="1" applyFill="1" applyAlignment="1">
      <alignment horizontal="right"/>
    </xf>
    <xf numFmtId="0" fontId="24" fillId="8" borderId="0" xfId="0" applyFont="1" applyFill="1"/>
    <xf numFmtId="176" fontId="3" fillId="8" borderId="0" xfId="0" applyNumberFormat="1" applyFont="1" applyFill="1" applyAlignment="1">
      <alignment horizontal="centerContinuous" vertical="center"/>
    </xf>
    <xf numFmtId="3" fontId="6" fillId="8" borderId="0" xfId="0" applyNumberFormat="1" applyFont="1" applyFill="1" applyAlignment="1">
      <alignment horizontal="centerContinuous" vertical="center"/>
    </xf>
    <xf numFmtId="3" fontId="3" fillId="8" borderId="0" xfId="0" applyNumberFormat="1" applyFont="1" applyFill="1" applyAlignment="1">
      <alignment horizontal="centerContinuous" vertical="center"/>
    </xf>
    <xf numFmtId="0" fontId="3" fillId="8" borderId="0" xfId="0" applyFont="1" applyFill="1" applyAlignment="1" applyProtection="1">
      <alignment horizontal="centerContinuous" vertical="center"/>
      <protection hidden="1"/>
    </xf>
    <xf numFmtId="0" fontId="8" fillId="8" borderId="0" xfId="0" applyFont="1" applyFill="1" applyAlignment="1">
      <alignment horizontal="center" vertical="center"/>
    </xf>
    <xf numFmtId="0" fontId="11" fillId="8" borderId="0" xfId="0" applyFont="1" applyFill="1" applyAlignment="1" applyProtection="1">
      <alignment horizontal="center"/>
      <protection locked="0"/>
    </xf>
    <xf numFmtId="0" fontId="11" fillId="8" borderId="0" xfId="0" applyFont="1" applyFill="1" applyAlignment="1">
      <alignment horizontal="center"/>
    </xf>
    <xf numFmtId="0" fontId="14" fillId="8" borderId="0" xfId="0" applyFont="1" applyFill="1" applyAlignment="1">
      <alignment horizontal="center" vertical="center"/>
    </xf>
    <xf numFmtId="4" fontId="14" fillId="8" borderId="0" xfId="0" applyNumberFormat="1" applyFont="1" applyFill="1" applyAlignment="1">
      <alignment horizontal="center"/>
    </xf>
    <xf numFmtId="9" fontId="14" fillId="8" borderId="0" xfId="0" applyNumberFormat="1" applyFont="1" applyFill="1" applyAlignment="1">
      <alignment horizontal="center"/>
    </xf>
    <xf numFmtId="3" fontId="14" fillId="8" borderId="0" xfId="0" applyNumberFormat="1" applyFont="1" applyFill="1" applyAlignment="1">
      <alignment horizontal="center"/>
    </xf>
    <xf numFmtId="0" fontId="17" fillId="8" borderId="0" xfId="0" applyFont="1" applyFill="1" applyAlignment="1">
      <alignment horizontal="left"/>
    </xf>
    <xf numFmtId="0" fontId="3" fillId="8" borderId="0" xfId="0" applyFont="1" applyFill="1" applyProtection="1">
      <protection hidden="1"/>
    </xf>
    <xf numFmtId="0" fontId="21" fillId="8" borderId="0" xfId="0" applyFont="1" applyFill="1" applyAlignment="1">
      <alignment horizontal="centerContinuous"/>
    </xf>
    <xf numFmtId="0" fontId="22" fillId="8" borderId="0" xfId="0" applyFont="1" applyFill="1" applyAlignment="1">
      <alignment horizontal="centerContinuous"/>
    </xf>
    <xf numFmtId="176" fontId="3" fillId="8" borderId="0" xfId="0" applyNumberFormat="1" applyFont="1" applyFill="1" applyAlignment="1">
      <alignment horizontal="left" vertical="top"/>
    </xf>
    <xf numFmtId="0" fontId="3" fillId="8" borderId="0" xfId="0" applyFont="1" applyFill="1" applyAlignment="1">
      <alignment horizontal="centerContinuous" vertical="center"/>
    </xf>
    <xf numFmtId="0" fontId="9" fillId="8" borderId="0" xfId="0" applyFont="1" applyFill="1" applyAlignment="1">
      <alignment horizontal="center" vertical="center"/>
    </xf>
    <xf numFmtId="0" fontId="10" fillId="8" borderId="0" xfId="0" applyFont="1" applyFill="1" applyAlignment="1">
      <alignment horizontal="center"/>
    </xf>
    <xf numFmtId="0" fontId="15" fillId="8" borderId="0" xfId="0" applyFont="1" applyFill="1" applyAlignment="1">
      <alignment horizontal="center" vertical="center"/>
    </xf>
    <xf numFmtId="4" fontId="15" fillId="8" borderId="0" xfId="0" applyNumberFormat="1" applyFont="1" applyFill="1" applyAlignment="1">
      <alignment horizontal="center"/>
    </xf>
    <xf numFmtId="9" fontId="15" fillId="8" borderId="0" xfId="0" applyNumberFormat="1" applyFont="1" applyFill="1" applyAlignment="1">
      <alignment horizontal="center"/>
    </xf>
    <xf numFmtId="3" fontId="15" fillId="8" borderId="0" xfId="0" applyNumberFormat="1" applyFont="1" applyFill="1" applyAlignment="1">
      <alignment horizontal="center"/>
    </xf>
    <xf numFmtId="0" fontId="48" fillId="8" borderId="0" xfId="0" applyFont="1" applyFill="1" applyAlignment="1">
      <alignment horizontal="right"/>
    </xf>
    <xf numFmtId="0" fontId="22" fillId="8" borderId="0" xfId="0" applyFont="1" applyFill="1"/>
    <xf numFmtId="0" fontId="4" fillId="8" borderId="0" xfId="0" applyFont="1" applyFill="1" applyProtection="1">
      <protection locked="0"/>
    </xf>
    <xf numFmtId="0" fontId="6" fillId="8" borderId="0" xfId="0" applyFont="1" applyFill="1" applyAlignment="1">
      <alignment horizontal="centerContinuous" vertical="center"/>
    </xf>
    <xf numFmtId="4" fontId="3" fillId="8" borderId="0" xfId="0" applyNumberFormat="1" applyFont="1" applyFill="1"/>
    <xf numFmtId="3" fontId="3" fillId="8" borderId="0" xfId="0" applyNumberFormat="1" applyFont="1" applyFill="1"/>
    <xf numFmtId="0" fontId="19" fillId="8" borderId="0" xfId="0" applyFont="1" applyFill="1" applyAlignment="1">
      <alignment horizontal="center"/>
    </xf>
    <xf numFmtId="0" fontId="17" fillId="8" borderId="0" xfId="0" applyFont="1" applyFill="1"/>
    <xf numFmtId="0" fontId="23" fillId="8" borderId="0" xfId="0" applyFont="1" applyFill="1"/>
    <xf numFmtId="0" fontId="3" fillId="8" borderId="0" xfId="0" applyFont="1" applyFill="1" applyAlignment="1">
      <alignment horizontal="center" vertical="center"/>
    </xf>
    <xf numFmtId="0" fontId="3" fillId="8" borderId="0" xfId="0" applyFont="1" applyFill="1" applyAlignment="1">
      <alignment horizontal="left" vertical="top"/>
    </xf>
    <xf numFmtId="0" fontId="6" fillId="8" borderId="0" xfId="0" applyFont="1" applyFill="1" applyAlignment="1">
      <alignment horizontal="left" vertical="top"/>
    </xf>
    <xf numFmtId="4" fontId="3" fillId="8" borderId="0" xfId="0" applyNumberFormat="1" applyFont="1" applyFill="1" applyAlignment="1">
      <alignment horizontal="centerContinuous" vertical="center"/>
    </xf>
    <xf numFmtId="9" fontId="3" fillId="8" borderId="0" xfId="0" applyNumberFormat="1" applyFont="1" applyFill="1" applyAlignment="1">
      <alignment horizontal="centerContinuous" vertical="center"/>
    </xf>
    <xf numFmtId="0" fontId="5" fillId="8" borderId="0" xfId="0" applyFont="1" applyFill="1"/>
    <xf numFmtId="0" fontId="5" fillId="8" borderId="0" xfId="0" applyFont="1" applyFill="1" applyAlignment="1">
      <alignment horizontal="center"/>
    </xf>
    <xf numFmtId="176" fontId="5" fillId="8" borderId="0" xfId="0" applyNumberFormat="1" applyFont="1" applyFill="1" applyAlignment="1">
      <alignment horizontal="center" vertical="center"/>
    </xf>
    <xf numFmtId="3" fontId="5" fillId="8" borderId="0" xfId="0" applyNumberFormat="1" applyFont="1" applyFill="1" applyAlignment="1">
      <alignment horizontal="center" vertical="center"/>
    </xf>
    <xf numFmtId="0" fontId="5" fillId="8" borderId="0" xfId="0" applyFont="1" applyFill="1" applyAlignment="1" applyProtection="1">
      <alignment horizontal="center" vertical="center"/>
      <protection hidden="1"/>
    </xf>
    <xf numFmtId="0" fontId="5" fillId="8" borderId="1" xfId="0" applyFont="1" applyFill="1" applyBorder="1" applyAlignment="1">
      <alignment horizontal="center" vertical="center"/>
    </xf>
    <xf numFmtId="0" fontId="5" fillId="8" borderId="0" xfId="0" applyFont="1" applyFill="1" applyAlignment="1">
      <alignment horizontal="center" vertical="center"/>
    </xf>
    <xf numFmtId="3"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164" fontId="5" fillId="8" borderId="0" xfId="0" applyNumberFormat="1" applyFont="1" applyFill="1" applyAlignment="1">
      <alignment horizontal="center"/>
    </xf>
    <xf numFmtId="10" fontId="20" fillId="8" borderId="0" xfId="1" applyNumberFormat="1" applyFont="1" applyFill="1" applyBorder="1" applyAlignment="1">
      <alignment horizontal="center"/>
    </xf>
    <xf numFmtId="165" fontId="5" fillId="8" borderId="0" xfId="0" applyNumberFormat="1" applyFont="1" applyFill="1" applyAlignment="1">
      <alignment horizontal="left" vertical="center"/>
    </xf>
    <xf numFmtId="165" fontId="5" fillId="8" borderId="0" xfId="0" applyNumberFormat="1" applyFont="1" applyFill="1" applyAlignment="1">
      <alignment horizontal="center" vertical="center"/>
    </xf>
    <xf numFmtId="3" fontId="5" fillId="8" borderId="0" xfId="0" applyNumberFormat="1" applyFont="1" applyFill="1" applyAlignment="1">
      <alignment horizontal="center"/>
    </xf>
    <xf numFmtId="4" fontId="5" fillId="8" borderId="0" xfId="0" applyNumberFormat="1" applyFont="1" applyFill="1" applyAlignment="1">
      <alignment horizontal="center" vertical="center"/>
    </xf>
    <xf numFmtId="9" fontId="5" fillId="8" borderId="0" xfId="0" applyNumberFormat="1" applyFont="1" applyFill="1" applyAlignment="1">
      <alignment horizontal="center" vertical="center"/>
    </xf>
    <xf numFmtId="166" fontId="5" fillId="8" borderId="0" xfId="0" applyNumberFormat="1" applyFont="1" applyFill="1" applyAlignment="1">
      <alignment horizontal="center"/>
    </xf>
    <xf numFmtId="1" fontId="5" fillId="8" borderId="0" xfId="0" applyNumberFormat="1" applyFont="1" applyFill="1" applyAlignment="1">
      <alignment horizontal="center"/>
    </xf>
    <xf numFmtId="1" fontId="26" fillId="8" borderId="0" xfId="0" applyNumberFormat="1" applyFont="1" applyFill="1" applyAlignment="1">
      <alignment horizontal="center"/>
    </xf>
    <xf numFmtId="165" fontId="5" fillId="8" borderId="0" xfId="0" applyNumberFormat="1" applyFont="1" applyFill="1" applyAlignment="1">
      <alignment horizontal="left" vertical="top"/>
    </xf>
    <xf numFmtId="167" fontId="5" fillId="8" borderId="0" xfId="0" applyNumberFormat="1" applyFont="1" applyFill="1" applyAlignment="1">
      <alignment horizontal="center"/>
    </xf>
    <xf numFmtId="0" fontId="3" fillId="8" borderId="0" xfId="0" applyFont="1" applyFill="1" applyAlignment="1">
      <alignment horizontal="fill" vertical="center"/>
    </xf>
    <xf numFmtId="176" fontId="3" fillId="8" borderId="0" xfId="0" applyNumberFormat="1" applyFont="1" applyFill="1" applyAlignment="1">
      <alignment horizontal="fill" vertical="center"/>
    </xf>
    <xf numFmtId="3" fontId="3" fillId="8" borderId="0" xfId="0" applyNumberFormat="1" applyFont="1" applyFill="1" applyAlignment="1">
      <alignment horizontal="fill" vertical="center"/>
    </xf>
    <xf numFmtId="4" fontId="3" fillId="8" borderId="0" xfId="0" applyNumberFormat="1" applyFont="1" applyFill="1" applyAlignment="1">
      <alignment horizontal="fill" vertical="center"/>
    </xf>
    <xf numFmtId="9" fontId="3" fillId="8" borderId="0" xfId="0" applyNumberFormat="1" applyFont="1" applyFill="1" applyAlignment="1">
      <alignment horizontal="fill" vertical="center"/>
    </xf>
    <xf numFmtId="0" fontId="27" fillId="8" borderId="0" xfId="0" applyFont="1" applyFill="1" applyAlignment="1">
      <alignment horizontal="center"/>
    </xf>
    <xf numFmtId="0" fontId="25" fillId="8" borderId="0" xfId="0" applyFont="1" applyFill="1" applyAlignment="1">
      <alignment horizontal="fill"/>
    </xf>
    <xf numFmtId="165" fontId="7" fillId="8" borderId="0" xfId="0" applyNumberFormat="1" applyFont="1" applyFill="1" applyAlignment="1">
      <alignment horizontal="centerContinuous"/>
    </xf>
    <xf numFmtId="165" fontId="7" fillId="8" borderId="0" xfId="0" applyNumberFormat="1" applyFont="1" applyFill="1" applyAlignment="1">
      <alignment horizontal="center"/>
    </xf>
    <xf numFmtId="165" fontId="28" fillId="8" borderId="0" xfId="0" applyNumberFormat="1" applyFont="1" applyFill="1" applyAlignment="1">
      <alignment horizontal="centerContinuous"/>
    </xf>
    <xf numFmtId="0" fontId="28" fillId="8" borderId="0" xfId="0" applyFont="1" applyFill="1" applyAlignment="1">
      <alignment horizontal="centerContinuous"/>
    </xf>
    <xf numFmtId="0" fontId="28" fillId="8" borderId="0" xfId="0" applyFont="1" applyFill="1"/>
    <xf numFmtId="165" fontId="30" fillId="8" borderId="0" xfId="0" applyNumberFormat="1" applyFont="1" applyFill="1" applyAlignment="1">
      <alignment horizontal="left"/>
    </xf>
    <xf numFmtId="0" fontId="28" fillId="8" borderId="0" xfId="0" applyFont="1" applyFill="1" applyAlignment="1">
      <alignment horizontal="center"/>
    </xf>
    <xf numFmtId="165" fontId="3" fillId="8" borderId="0" xfId="0" applyNumberFormat="1" applyFont="1" applyFill="1"/>
    <xf numFmtId="165" fontId="8" fillId="8" borderId="0" xfId="0" applyNumberFormat="1" applyFont="1" applyFill="1" applyAlignment="1">
      <alignment horizontal="center"/>
    </xf>
    <xf numFmtId="1" fontId="5" fillId="8" borderId="0" xfId="0" applyNumberFormat="1" applyFont="1" applyFill="1" applyAlignment="1">
      <alignment horizontal="right"/>
    </xf>
    <xf numFmtId="168" fontId="30" fillId="8" borderId="0" xfId="0" applyNumberFormat="1" applyFont="1" applyFill="1" applyAlignment="1">
      <alignment horizontal="left" vertical="center"/>
    </xf>
    <xf numFmtId="164" fontId="3" fillId="8" borderId="0" xfId="0" applyNumberFormat="1" applyFont="1" applyFill="1" applyProtection="1">
      <protection hidden="1"/>
    </xf>
    <xf numFmtId="3" fontId="8" fillId="8" borderId="0" xfId="0" applyNumberFormat="1" applyFont="1" applyFill="1" applyAlignment="1">
      <alignment horizontal="center" vertical="center"/>
    </xf>
    <xf numFmtId="165" fontId="5" fillId="8" borderId="0" xfId="0" applyNumberFormat="1" applyFont="1" applyFill="1"/>
    <xf numFmtId="0" fontId="20" fillId="8" borderId="0" xfId="0" applyFont="1" applyFill="1"/>
    <xf numFmtId="165" fontId="31" fillId="8" borderId="0" xfId="0" applyNumberFormat="1" applyFont="1" applyFill="1"/>
    <xf numFmtId="169" fontId="8" fillId="8" borderId="0" xfId="0" applyNumberFormat="1" applyFont="1" applyFill="1" applyAlignment="1">
      <alignment horizontal="right"/>
    </xf>
    <xf numFmtId="1" fontId="8" fillId="9" borderId="0" xfId="0" applyNumberFormat="1" applyFont="1" applyFill="1" applyAlignment="1">
      <alignment horizontal="right"/>
    </xf>
    <xf numFmtId="165" fontId="5" fillId="8" borderId="4" xfId="0" applyNumberFormat="1" applyFont="1" applyFill="1" applyBorder="1"/>
    <xf numFmtId="165" fontId="4" fillId="8" borderId="5" xfId="0" applyNumberFormat="1" applyFont="1" applyFill="1" applyBorder="1"/>
    <xf numFmtId="1" fontId="32" fillId="8" borderId="4" xfId="0" applyNumberFormat="1" applyFont="1" applyFill="1" applyBorder="1" applyAlignment="1">
      <alignment horizontal="right"/>
    </xf>
    <xf numFmtId="37" fontId="3" fillId="8" borderId="4" xfId="0" applyNumberFormat="1" applyFont="1" applyFill="1" applyBorder="1" applyAlignment="1">
      <alignment horizontal="right"/>
    </xf>
    <xf numFmtId="37" fontId="3" fillId="8" borderId="4" xfId="0" applyNumberFormat="1" applyFont="1" applyFill="1" applyBorder="1"/>
    <xf numFmtId="165" fontId="3" fillId="8" borderId="0" xfId="0" applyNumberFormat="1" applyFont="1" applyFill="1" applyAlignment="1">
      <alignment horizontal="center"/>
    </xf>
    <xf numFmtId="0" fontId="3" fillId="8" borderId="0" xfId="0" applyFont="1" applyFill="1" applyAlignment="1">
      <alignment horizontal="center"/>
    </xf>
    <xf numFmtId="1" fontId="32" fillId="8" borderId="0" xfId="0" applyNumberFormat="1" applyFont="1" applyFill="1" applyAlignment="1">
      <alignment horizontal="right"/>
    </xf>
    <xf numFmtId="165" fontId="5" fillId="8" borderId="1" xfId="0" applyNumberFormat="1" applyFont="1" applyFill="1" applyBorder="1"/>
    <xf numFmtId="165" fontId="4" fillId="8" borderId="1" xfId="0" applyNumberFormat="1" applyFont="1" applyFill="1" applyBorder="1"/>
    <xf numFmtId="1" fontId="32" fillId="8" borderId="1" xfId="0" applyNumberFormat="1" applyFont="1" applyFill="1" applyBorder="1" applyAlignment="1">
      <alignment horizontal="right"/>
    </xf>
    <xf numFmtId="37" fontId="3" fillId="8" borderId="6" xfId="0" applyNumberFormat="1" applyFont="1" applyFill="1" applyBorder="1" applyAlignment="1">
      <alignment horizontal="right"/>
    </xf>
    <xf numFmtId="37" fontId="3" fillId="8" borderId="1" xfId="0" applyNumberFormat="1" applyFont="1" applyFill="1" applyBorder="1"/>
    <xf numFmtId="165" fontId="4" fillId="8" borderId="0" xfId="0" applyNumberFormat="1" applyFont="1" applyFill="1"/>
    <xf numFmtId="1" fontId="5" fillId="8" borderId="0" xfId="0" applyNumberFormat="1" applyFont="1" applyFill="1"/>
    <xf numFmtId="37" fontId="3" fillId="8" borderId="0" xfId="0" applyNumberFormat="1" applyFont="1" applyFill="1" applyAlignment="1">
      <alignment horizontal="right"/>
    </xf>
    <xf numFmtId="165" fontId="3" fillId="8" borderId="0" xfId="0" applyNumberFormat="1" applyFont="1" applyFill="1" applyAlignment="1">
      <alignment vertical="center"/>
    </xf>
    <xf numFmtId="1" fontId="3" fillId="8" borderId="0" xfId="0" applyNumberFormat="1" applyFont="1" applyFill="1" applyAlignment="1">
      <alignment vertical="center"/>
    </xf>
    <xf numFmtId="1" fontId="3" fillId="8" borderId="0" xfId="0" applyNumberFormat="1" applyFont="1" applyFill="1"/>
    <xf numFmtId="165" fontId="33" fillId="8" borderId="0" xfId="0" applyNumberFormat="1" applyFont="1" applyFill="1" applyAlignment="1">
      <alignment horizontal="right"/>
    </xf>
    <xf numFmtId="1" fontId="34" fillId="8" borderId="0" xfId="0" applyNumberFormat="1" applyFont="1" applyFill="1" applyAlignment="1">
      <alignment horizontal="right"/>
    </xf>
    <xf numFmtId="3" fontId="3" fillId="8" borderId="0" xfId="0" applyNumberFormat="1" applyFont="1" applyFill="1" applyAlignment="1">
      <alignment horizontal="left"/>
    </xf>
    <xf numFmtId="3" fontId="3" fillId="8" borderId="0" xfId="0" applyNumberFormat="1" applyFont="1" applyFill="1" applyAlignment="1">
      <alignment horizontal="right"/>
    </xf>
    <xf numFmtId="6" fontId="3" fillId="8" borderId="0" xfId="0" applyNumberFormat="1" applyFont="1" applyFill="1"/>
    <xf numFmtId="38" fontId="22" fillId="8" borderId="0" xfId="0" applyNumberFormat="1" applyFont="1" applyFill="1" applyAlignment="1">
      <alignment horizontal="right"/>
    </xf>
    <xf numFmtId="0" fontId="40" fillId="8" borderId="0" xfId="0" applyFont="1" applyFill="1" applyAlignment="1">
      <alignment vertical="top" wrapText="1"/>
    </xf>
    <xf numFmtId="165" fontId="5" fillId="8" borderId="0" xfId="0" applyNumberFormat="1" applyFont="1" applyFill="1" applyAlignment="1">
      <alignment horizontal="center"/>
    </xf>
    <xf numFmtId="3" fontId="31" fillId="8" borderId="0" xfId="0" applyNumberFormat="1" applyFont="1" applyFill="1"/>
    <xf numFmtId="165" fontId="5" fillId="8" borderId="0" xfId="0" applyNumberFormat="1" applyFont="1" applyFill="1" applyAlignment="1" applyProtection="1">
      <alignment horizontal="center"/>
      <protection locked="0"/>
    </xf>
    <xf numFmtId="165" fontId="8" fillId="8" borderId="0" xfId="0" applyNumberFormat="1" applyFont="1" applyFill="1"/>
    <xf numFmtId="1" fontId="8" fillId="9" borderId="0" xfId="0" applyNumberFormat="1" applyFont="1" applyFill="1"/>
    <xf numFmtId="0" fontId="39" fillId="8" borderId="0" xfId="0" applyFont="1" applyFill="1" applyAlignment="1">
      <alignment horizontal="right"/>
    </xf>
    <xf numFmtId="0" fontId="4" fillId="8" borderId="0" xfId="0" applyFont="1" applyFill="1" applyAlignment="1">
      <alignment horizontal="center"/>
    </xf>
    <xf numFmtId="0" fontId="43" fillId="8" borderId="0" xfId="0" applyFont="1" applyFill="1"/>
    <xf numFmtId="0" fontId="6" fillId="8" borderId="0" xfId="0" applyFont="1" applyFill="1"/>
    <xf numFmtId="1" fontId="3" fillId="8" borderId="4" xfId="0" applyNumberFormat="1" applyFont="1" applyFill="1" applyBorder="1"/>
    <xf numFmtId="165" fontId="3" fillId="8" borderId="4" xfId="0" applyNumberFormat="1" applyFont="1" applyFill="1" applyBorder="1" applyProtection="1">
      <protection locked="0"/>
    </xf>
    <xf numFmtId="1" fontId="3" fillId="8" borderId="1" xfId="0" applyNumberFormat="1" applyFont="1" applyFill="1" applyBorder="1"/>
    <xf numFmtId="165" fontId="3" fillId="8" borderId="1" xfId="0" applyNumberFormat="1" applyFont="1" applyFill="1" applyBorder="1"/>
    <xf numFmtId="170" fontId="3" fillId="8" borderId="0" xfId="0" applyNumberFormat="1" applyFont="1" applyFill="1"/>
    <xf numFmtId="165" fontId="33" fillId="8" borderId="0" xfId="0" applyNumberFormat="1" applyFont="1" applyFill="1"/>
    <xf numFmtId="165" fontId="3" fillId="8" borderId="0" xfId="0" applyNumberFormat="1" applyFont="1" applyFill="1" applyAlignment="1">
      <alignment horizontal="centerContinuous"/>
    </xf>
    <xf numFmtId="165" fontId="3" fillId="8" borderId="0" xfId="0" applyNumberFormat="1" applyFont="1" applyFill="1" applyAlignment="1">
      <alignment horizontal="right"/>
    </xf>
    <xf numFmtId="171" fontId="22" fillId="8" borderId="0" xfId="0" applyNumberFormat="1" applyFont="1" applyFill="1"/>
    <xf numFmtId="3" fontId="5" fillId="8" borderId="0" xfId="0" applyNumberFormat="1" applyFont="1" applyFill="1" applyAlignment="1">
      <alignment horizontal="right"/>
    </xf>
    <xf numFmtId="172" fontId="22" fillId="8" borderId="0" xfId="0" applyNumberFormat="1" applyFont="1" applyFill="1"/>
    <xf numFmtId="165" fontId="35" fillId="8" borderId="0" xfId="0" applyNumberFormat="1" applyFont="1" applyFill="1"/>
    <xf numFmtId="1" fontId="3" fillId="8" borderId="0" xfId="0" applyNumberFormat="1" applyFont="1" applyFill="1" applyProtection="1">
      <protection locked="0"/>
    </xf>
    <xf numFmtId="168" fontId="36" fillId="8" borderId="0" xfId="0" applyNumberFormat="1" applyFont="1" applyFill="1" applyAlignment="1">
      <alignment horizontal="centerContinuous" vertical="center"/>
    </xf>
    <xf numFmtId="165" fontId="24" fillId="8" borderId="0" xfId="0" applyNumberFormat="1" applyFont="1" applyFill="1"/>
    <xf numFmtId="0" fontId="25" fillId="8" borderId="0" xfId="0" applyFont="1" applyFill="1"/>
    <xf numFmtId="0" fontId="40" fillId="8" borderId="33" xfId="0" applyFont="1" applyFill="1" applyBorder="1" applyAlignment="1">
      <alignment horizontal="right"/>
    </xf>
    <xf numFmtId="0" fontId="40" fillId="8" borderId="35" xfId="0" applyFont="1" applyFill="1" applyBorder="1" applyAlignment="1">
      <alignment vertical="top" wrapText="1"/>
    </xf>
    <xf numFmtId="0" fontId="41" fillId="8" borderId="0" xfId="0" applyFont="1" applyFill="1" applyAlignment="1">
      <alignment horizontal="center"/>
    </xf>
    <xf numFmtId="0" fontId="40" fillId="8" borderId="36" xfId="0" applyFont="1" applyFill="1" applyBorder="1" applyAlignment="1">
      <alignment vertical="top" wrapText="1"/>
    </xf>
    <xf numFmtId="0" fontId="39" fillId="8" borderId="36" xfId="0" applyFont="1" applyFill="1" applyBorder="1" applyAlignment="1">
      <alignment horizontal="right"/>
    </xf>
    <xf numFmtId="0" fontId="42" fillId="8" borderId="36" xfId="0" applyFont="1" applyFill="1" applyBorder="1"/>
    <xf numFmtId="0" fontId="42" fillId="8" borderId="37" xfId="0" applyFont="1" applyFill="1" applyBorder="1"/>
    <xf numFmtId="0" fontId="38" fillId="0" borderId="19" xfId="0" applyFont="1" applyBorder="1"/>
    <xf numFmtId="0" fontId="0" fillId="7" borderId="20" xfId="0" applyFill="1" applyBorder="1"/>
    <xf numFmtId="174" fontId="0" fillId="7" borderId="20" xfId="0" applyNumberFormat="1" applyFill="1" applyBorder="1"/>
    <xf numFmtId="14" fontId="0" fillId="7" borderId="20" xfId="0" applyNumberFormat="1" applyFill="1" applyBorder="1"/>
    <xf numFmtId="0" fontId="0" fillId="7" borderId="20" xfId="0" applyFill="1" applyBorder="1" applyAlignment="1">
      <alignment horizontal="right"/>
    </xf>
    <xf numFmtId="10" fontId="0" fillId="7" borderId="20" xfId="0" applyNumberFormat="1" applyFill="1" applyBorder="1"/>
    <xf numFmtId="0" fontId="38" fillId="0" borderId="21" xfId="0" applyFont="1" applyBorder="1"/>
    <xf numFmtId="0" fontId="0" fillId="0" borderId="22" xfId="0" applyBorder="1"/>
    <xf numFmtId="9" fontId="0" fillId="7" borderId="23" xfId="0" applyNumberFormat="1" applyFill="1" applyBorder="1"/>
    <xf numFmtId="10" fontId="0" fillId="0" borderId="0" xfId="0" applyNumberFormat="1"/>
    <xf numFmtId="0" fontId="48" fillId="8" borderId="0" xfId="0" applyFont="1" applyFill="1"/>
    <xf numFmtId="177" fontId="0" fillId="0" borderId="18" xfId="0" applyNumberFormat="1" applyBorder="1" applyAlignment="1">
      <alignment horizontal="right"/>
    </xf>
    <xf numFmtId="0" fontId="45" fillId="0" borderId="0" xfId="0" applyFont="1" applyAlignment="1">
      <alignment horizontal="left" vertical="top" wrapText="1"/>
    </xf>
    <xf numFmtId="0" fontId="44" fillId="8" borderId="24" xfId="0" applyFont="1" applyFill="1" applyBorder="1" applyAlignment="1">
      <alignment horizontal="center"/>
    </xf>
    <xf numFmtId="0" fontId="44" fillId="8" borderId="25" xfId="0" applyFont="1" applyFill="1" applyBorder="1" applyAlignment="1">
      <alignment horizontal="center"/>
    </xf>
    <xf numFmtId="0" fontId="44" fillId="8" borderId="26" xfId="0" applyFont="1" applyFill="1" applyBorder="1" applyAlignment="1">
      <alignment horizontal="center"/>
    </xf>
    <xf numFmtId="0" fontId="44" fillId="0" borderId="24" xfId="0" applyFont="1" applyBorder="1" applyAlignment="1">
      <alignment horizontal="center"/>
    </xf>
    <xf numFmtId="0" fontId="44" fillId="0" borderId="25" xfId="0" applyFont="1" applyBorder="1" applyAlignment="1">
      <alignment horizontal="center"/>
    </xf>
    <xf numFmtId="0" fontId="44" fillId="0" borderId="26" xfId="0" applyFont="1" applyBorder="1" applyAlignment="1">
      <alignment horizontal="center"/>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xf>
    <xf numFmtId="0" fontId="5" fillId="8" borderId="3" xfId="0" applyFont="1" applyFill="1" applyBorder="1" applyAlignment="1">
      <alignment horizontal="center" vertical="center"/>
    </xf>
    <xf numFmtId="0" fontId="17" fillId="8" borderId="0" xfId="0" applyFont="1" applyFill="1" applyAlignment="1">
      <alignment horizontal="left"/>
    </xf>
    <xf numFmtId="0" fontId="48" fillId="8" borderId="0" xfId="0" applyFont="1" applyFill="1" applyAlignment="1">
      <alignment horizontal="left"/>
    </xf>
    <xf numFmtId="0" fontId="39" fillId="8" borderId="31" xfId="0" applyFont="1" applyFill="1" applyBorder="1" applyAlignment="1">
      <alignment horizontal="center"/>
    </xf>
    <xf numFmtId="0" fontId="39" fillId="8" borderId="32" xfId="0" applyFont="1" applyFill="1" applyBorder="1" applyAlignment="1">
      <alignment horizontal="center"/>
    </xf>
    <xf numFmtId="0" fontId="38" fillId="8" borderId="30" xfId="0" applyFont="1" applyFill="1" applyBorder="1" applyAlignment="1">
      <alignment horizontal="center"/>
    </xf>
    <xf numFmtId="0" fontId="38" fillId="8" borderId="31" xfId="0" applyFont="1" applyFill="1" applyBorder="1" applyAlignment="1">
      <alignment horizontal="center"/>
    </xf>
    <xf numFmtId="1" fontId="38" fillId="8" borderId="31" xfId="0" applyNumberFormat="1" applyFont="1" applyFill="1" applyBorder="1" applyAlignment="1">
      <alignment horizontal="center"/>
    </xf>
    <xf numFmtId="165" fontId="0" fillId="4"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wrapText="1"/>
    </xf>
    <xf numFmtId="0" fontId="0" fillId="4" borderId="13" xfId="0" applyFill="1" applyBorder="1" applyAlignment="1">
      <alignment horizont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37" fontId="0" fillId="4" borderId="8" xfId="0" applyNumberFormat="1"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center" vertical="center"/>
    </xf>
    <xf numFmtId="0" fontId="0" fillId="4" borderId="9" xfId="0" applyFill="1" applyBorder="1" applyAlignment="1">
      <alignment horizontal="center" wrapText="1"/>
    </xf>
    <xf numFmtId="0" fontId="0" fillId="4" borderId="12" xfId="0" applyFill="1" applyBorder="1" applyAlignment="1">
      <alignment horizontal="center" wrapText="1"/>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4" borderId="14" xfId="0" applyFill="1" applyBorder="1" applyAlignment="1">
      <alignment horizontal="center" vertical="center"/>
    </xf>
    <xf numFmtId="0" fontId="38" fillId="0" borderId="38" xfId="0" applyFont="1" applyBorder="1" applyAlignment="1">
      <alignment horizontal="center"/>
    </xf>
    <xf numFmtId="0" fontId="38" fillId="0" borderId="39" xfId="0" applyFont="1" applyBorder="1" applyAlignment="1">
      <alignment horizontal="center"/>
    </xf>
    <xf numFmtId="0" fontId="38" fillId="0" borderId="40" xfId="0" applyFont="1" applyBorder="1" applyAlignment="1">
      <alignment horizontal="center"/>
    </xf>
    <xf numFmtId="0" fontId="37" fillId="4" borderId="9" xfId="0" applyFont="1" applyFill="1" applyBorder="1" applyAlignment="1">
      <alignment horizontal="center" vertical="center"/>
    </xf>
    <xf numFmtId="0" fontId="37" fillId="4" borderId="1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12" xfId="0" applyFont="1" applyFill="1" applyBorder="1" applyAlignment="1">
      <alignment horizontal="center" vertical="center"/>
    </xf>
    <xf numFmtId="0" fontId="37" fillId="4" borderId="8" xfId="0" applyFont="1" applyFill="1" applyBorder="1" applyAlignment="1">
      <alignment horizontal="center" vertical="center"/>
    </xf>
    <xf numFmtId="0" fontId="37" fillId="4" borderId="13" xfId="0" applyFont="1" applyFill="1" applyBorder="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49" fillId="0" borderId="0" xfId="0" applyFont="1" applyAlignment="1">
      <alignment horizontal="right"/>
    </xf>
    <xf numFmtId="175" fontId="49" fillId="0" borderId="0" xfId="0" applyNumberFormat="1" applyFont="1" applyAlignment="1">
      <alignment horizontal="right"/>
    </xf>
    <xf numFmtId="0" fontId="50" fillId="0" borderId="0" xfId="0" applyFont="1" applyAlignment="1">
      <alignment horizontal="center"/>
    </xf>
  </cellXfs>
  <cellStyles count="2">
    <cellStyle name="Normal" xfId="0" builtinId="0"/>
    <cellStyle name="Percent" xfId="1" builtinId="5"/>
  </cellStyles>
  <dxfs count="47">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border outline="0">
        <top style="thin">
          <color theme="9"/>
        </top>
      </border>
    </dxf>
    <dxf>
      <font>
        <strike val="0"/>
        <outline val="0"/>
        <shadow val="0"/>
        <u val="none"/>
        <vertAlign val="baseline"/>
        <sz val="11"/>
        <color auto="1"/>
        <name val="Calibri"/>
        <family val="2"/>
        <scheme val="minor"/>
      </font>
    </dxf>
    <dxf>
      <border outline="0">
        <bottom style="thin">
          <color theme="9"/>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indent="0" justifyLastLine="0" shrinkToFit="0" readingOrder="0"/>
    </dxf>
    <dxf>
      <font>
        <strike val="0"/>
        <outline val="0"/>
        <shadow val="0"/>
        <u val="none"/>
        <vertAlign val="baseline"/>
        <sz val="11"/>
        <color auto="1"/>
        <name val="Calibri"/>
        <family val="2"/>
        <scheme val="minor"/>
      </font>
    </dxf>
  </dxfs>
  <tableStyles count="0" defaultTableStyle="TableStyleMedium2" defaultPivotStyle="PivotStyleLight16"/>
  <colors>
    <mruColors>
      <color rgb="FF0000FF"/>
      <color rgb="FFDDDDDD"/>
      <color rgb="FFCCFFCC"/>
      <color rgb="FF99FF99"/>
      <color rgb="FFE2E2E2"/>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'Funding Plan'!$D$992:$AH$992</c:f>
              <c:numCache>
                <c:formatCode>General</c:formatCode>
                <c:ptCount val="31"/>
                <c:pt idx="0" formatCode="&quot;FY&quot;000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numCache>
            </c:numRef>
          </c:cat>
          <c:val>
            <c:numRef>
              <c:f>'Funding Plan'!$D$1003:$AH$1003</c:f>
              <c:numCache>
                <c:formatCode>#,##0</c:formatCode>
                <c:ptCount val="31"/>
                <c:pt idx="0">
                  <c:v>0</c:v>
                </c:pt>
                <c:pt idx="1">
                  <c:v>0</c:v>
                </c:pt>
                <c:pt idx="2">
                  <c:v>-20874.5</c:v>
                </c:pt>
                <c:pt idx="3">
                  <c:v>-26983.050000000003</c:v>
                </c:pt>
                <c:pt idx="4">
                  <c:v>0</c:v>
                </c:pt>
                <c:pt idx="5">
                  <c:v>-14749.2</c:v>
                </c:pt>
                <c:pt idx="6">
                  <c:v>0</c:v>
                </c:pt>
                <c:pt idx="7">
                  <c:v>0</c:v>
                </c:pt>
                <c:pt idx="8">
                  <c:v>-9263.4</c:v>
                </c:pt>
                <c:pt idx="9">
                  <c:v>0</c:v>
                </c:pt>
                <c:pt idx="10">
                  <c:v>-70635.899999999994</c:v>
                </c:pt>
                <c:pt idx="11">
                  <c:v>0</c:v>
                </c:pt>
                <c:pt idx="12">
                  <c:v>-74134.5</c:v>
                </c:pt>
                <c:pt idx="13">
                  <c:v>-29518.400000000001</c:v>
                </c:pt>
                <c:pt idx="14">
                  <c:v>0</c:v>
                </c:pt>
                <c:pt idx="15">
                  <c:v>-196325.5</c:v>
                </c:pt>
                <c:pt idx="16">
                  <c:v>0</c:v>
                </c:pt>
                <c:pt idx="17">
                  <c:v>-8455.9</c:v>
                </c:pt>
                <c:pt idx="18">
                  <c:v>0</c:v>
                </c:pt>
                <c:pt idx="19">
                  <c:v>0</c:v>
                </c:pt>
                <c:pt idx="20">
                  <c:v>-23657.3</c:v>
                </c:pt>
                <c:pt idx="21">
                  <c:v>0</c:v>
                </c:pt>
                <c:pt idx="22">
                  <c:v>-39193.1</c:v>
                </c:pt>
                <c:pt idx="23">
                  <c:v>-40447.300000000003</c:v>
                </c:pt>
                <c:pt idx="24">
                  <c:v>-95835.199999999997</c:v>
                </c:pt>
                <c:pt idx="25">
                  <c:v>-102418.5</c:v>
                </c:pt>
                <c:pt idx="26">
                  <c:v>0</c:v>
                </c:pt>
                <c:pt idx="27">
                  <c:v>0</c:v>
                </c:pt>
                <c:pt idx="28">
                  <c:v>-17392.599999999999</c:v>
                </c:pt>
                <c:pt idx="29">
                  <c:v>0</c:v>
                </c:pt>
                <c:pt idx="30">
                  <c:v>-32416.2</c:v>
                </c:pt>
              </c:numCache>
            </c:numRef>
          </c:val>
          <c:extLst>
            <c:ext xmlns:c16="http://schemas.microsoft.com/office/drawing/2014/chart" uri="{C3380CC4-5D6E-409C-BE32-E72D297353CC}">
              <c16:uniqueId val="{00000000-AA40-4DF9-A1A4-883AC76CDD89}"/>
            </c:ext>
          </c:extLst>
        </c:ser>
        <c:ser>
          <c:idx val="1"/>
          <c:order val="1"/>
          <c:tx>
            <c:v>Recommended Reserve Contributions</c:v>
          </c:tx>
          <c:spPr>
            <a:solidFill>
              <a:srgbClr val="00B050"/>
            </a:solidFill>
            <a:ln>
              <a:solidFill>
                <a:schemeClr val="tx1"/>
              </a:solidFill>
            </a:ln>
          </c:spPr>
          <c:invertIfNegative val="0"/>
          <c:cat>
            <c:numRef>
              <c:f>'Funding Plan'!$D$992:$AH$992</c:f>
              <c:numCache>
                <c:formatCode>General</c:formatCode>
                <c:ptCount val="31"/>
                <c:pt idx="0" formatCode="&quot;FY&quot;000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numCache>
            </c:numRef>
          </c:cat>
          <c:val>
            <c:numRef>
              <c:f>'Funding Plan'!$D$993:$AH$993</c:f>
              <c:numCache>
                <c:formatCode>#,##0_);\(#,##0\)</c:formatCode>
                <c:ptCount val="31"/>
                <c:pt idx="0">
                  <c:v>10571</c:v>
                </c:pt>
                <c:pt idx="1">
                  <c:v>19000</c:v>
                </c:pt>
                <c:pt idx="2">
                  <c:v>19600</c:v>
                </c:pt>
                <c:pt idx="3">
                  <c:v>20200</c:v>
                </c:pt>
                <c:pt idx="4">
                  <c:v>20800</c:v>
                </c:pt>
                <c:pt idx="5">
                  <c:v>21500</c:v>
                </c:pt>
                <c:pt idx="6">
                  <c:v>22200</c:v>
                </c:pt>
                <c:pt idx="7">
                  <c:v>22900</c:v>
                </c:pt>
                <c:pt idx="8">
                  <c:v>23600</c:v>
                </c:pt>
                <c:pt idx="9">
                  <c:v>24400</c:v>
                </c:pt>
                <c:pt idx="10">
                  <c:v>25200</c:v>
                </c:pt>
                <c:pt idx="11">
                  <c:v>26000</c:v>
                </c:pt>
                <c:pt idx="12">
                  <c:v>26800</c:v>
                </c:pt>
                <c:pt idx="13">
                  <c:v>27700</c:v>
                </c:pt>
                <c:pt idx="14">
                  <c:v>28600</c:v>
                </c:pt>
                <c:pt idx="15">
                  <c:v>29500</c:v>
                </c:pt>
                <c:pt idx="16">
                  <c:v>29500</c:v>
                </c:pt>
                <c:pt idx="17">
                  <c:v>29500</c:v>
                </c:pt>
                <c:pt idx="18">
                  <c:v>29500</c:v>
                </c:pt>
                <c:pt idx="19">
                  <c:v>29500</c:v>
                </c:pt>
                <c:pt idx="20">
                  <c:v>29500</c:v>
                </c:pt>
                <c:pt idx="21">
                  <c:v>29500</c:v>
                </c:pt>
                <c:pt idx="22">
                  <c:v>30400</c:v>
                </c:pt>
                <c:pt idx="23">
                  <c:v>31400</c:v>
                </c:pt>
                <c:pt idx="24">
                  <c:v>32400</c:v>
                </c:pt>
                <c:pt idx="25">
                  <c:v>33400</c:v>
                </c:pt>
                <c:pt idx="26">
                  <c:v>34500</c:v>
                </c:pt>
                <c:pt idx="27">
                  <c:v>35600</c:v>
                </c:pt>
                <c:pt idx="28">
                  <c:v>36700</c:v>
                </c:pt>
                <c:pt idx="29">
                  <c:v>37900</c:v>
                </c:pt>
                <c:pt idx="30">
                  <c:v>39100</c:v>
                </c:pt>
              </c:numCache>
            </c:numRef>
          </c:val>
          <c:extLst>
            <c:ext xmlns:c16="http://schemas.microsoft.com/office/drawing/2014/chart" uri="{C3380CC4-5D6E-409C-BE32-E72D297353CC}">
              <c16:uniqueId val="{00000001-AA40-4DF9-A1A4-883AC76CDD89}"/>
            </c:ext>
          </c:extLst>
        </c:ser>
        <c:ser>
          <c:idx val="2"/>
          <c:order val="3"/>
          <c:tx>
            <c:v>Additional Reserve Contribution</c:v>
          </c:tx>
          <c:spPr>
            <a:ln>
              <a:solidFill>
                <a:schemeClr val="tx1"/>
              </a:solidFill>
            </a:ln>
          </c:spPr>
          <c:invertIfNegative val="0"/>
          <c:cat>
            <c:numRef>
              <c:f>'Funding Plan'!$D$992:$AH$992</c:f>
              <c:numCache>
                <c:formatCode>General</c:formatCode>
                <c:ptCount val="31"/>
                <c:pt idx="0" formatCode="&quot;FY&quot;000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numCache>
            </c:numRef>
          </c:cat>
          <c:val>
            <c:numRef>
              <c:f>'Funding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AA40-4DF9-A1A4-883AC76CDD89}"/>
            </c:ext>
          </c:extLst>
        </c:ser>
        <c:ser>
          <c:idx val="3"/>
          <c:order val="4"/>
          <c:tx>
            <c:v>Additional Assessment</c:v>
          </c:tx>
          <c:spPr>
            <a:ln>
              <a:solidFill>
                <a:schemeClr val="tx1"/>
              </a:solidFill>
            </a:ln>
          </c:spPr>
          <c:invertIfNegative val="0"/>
          <c:cat>
            <c:numRef>
              <c:f>'Funding Plan'!$D$992:$AH$992</c:f>
              <c:numCache>
                <c:formatCode>General</c:formatCode>
                <c:ptCount val="31"/>
                <c:pt idx="0" formatCode="&quot;FY&quot;000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numCache>
            </c:numRef>
          </c:cat>
          <c:val>
            <c:numRef>
              <c:f>'Funding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AA40-4DF9-A1A4-883AC76CDD89}"/>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'Funding Plan'!$D$992:$AH$992</c:f>
              <c:numCache>
                <c:formatCode>General</c:formatCode>
                <c:ptCount val="31"/>
                <c:pt idx="0" formatCode="&quot;FY&quot;000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numCache>
            </c:numRef>
          </c:cat>
          <c:val>
            <c:numRef>
              <c:f>'Funding Plan'!$D$996:$AH$996</c:f>
              <c:numCache>
                <c:formatCode>[$$-409]#,##0_);[Red]\([$$-409]#,##0\)</c:formatCode>
                <c:ptCount val="31"/>
                <c:pt idx="0">
                  <c:v>64313</c:v>
                </c:pt>
                <c:pt idx="1">
                  <c:v>84789</c:v>
                </c:pt>
                <c:pt idx="2">
                  <c:v>85197.5</c:v>
                </c:pt>
                <c:pt idx="3">
                  <c:v>80050.45</c:v>
                </c:pt>
                <c:pt idx="4">
                  <c:v>102659.45</c:v>
                </c:pt>
                <c:pt idx="5">
                  <c:v>111531.25</c:v>
                </c:pt>
                <c:pt idx="6">
                  <c:v>136184.25</c:v>
                </c:pt>
                <c:pt idx="7">
                  <c:v>162037.25</c:v>
                </c:pt>
                <c:pt idx="8">
                  <c:v>179757.85</c:v>
                </c:pt>
                <c:pt idx="9">
                  <c:v>207996.85</c:v>
                </c:pt>
                <c:pt idx="10">
                  <c:v>166266.95000000001</c:v>
                </c:pt>
                <c:pt idx="11">
                  <c:v>195851.95</c:v>
                </c:pt>
                <c:pt idx="12">
                  <c:v>151961.45000000001</c:v>
                </c:pt>
                <c:pt idx="13">
                  <c:v>153164.05000000002</c:v>
                </c:pt>
                <c:pt idx="14">
                  <c:v>185113.05000000002</c:v>
                </c:pt>
                <c:pt idx="15">
                  <c:v>20321.550000000017</c:v>
                </c:pt>
                <c:pt idx="16">
                  <c:v>50522.550000000017</c:v>
                </c:pt>
                <c:pt idx="17">
                  <c:v>72787.650000000023</c:v>
                </c:pt>
                <c:pt idx="18">
                  <c:v>104038.65000000002</c:v>
                </c:pt>
                <c:pt idx="19">
                  <c:v>135914.65000000002</c:v>
                </c:pt>
                <c:pt idx="20">
                  <c:v>144534.35000000003</c:v>
                </c:pt>
                <c:pt idx="21">
                  <c:v>177220.35000000003</c:v>
                </c:pt>
                <c:pt idx="22">
                  <c:v>171883.25000000003</c:v>
                </c:pt>
                <c:pt idx="23">
                  <c:v>166182.95000000001</c:v>
                </c:pt>
                <c:pt idx="24">
                  <c:v>105436.75000000001</c:v>
                </c:pt>
                <c:pt idx="25">
                  <c:v>37837.25</c:v>
                </c:pt>
                <c:pt idx="26">
                  <c:v>73439.25</c:v>
                </c:pt>
                <c:pt idx="27">
                  <c:v>110864.25</c:v>
                </c:pt>
                <c:pt idx="28">
                  <c:v>132581.65</c:v>
                </c:pt>
                <c:pt idx="29">
                  <c:v>173512.65</c:v>
                </c:pt>
                <c:pt idx="30">
                  <c:v>183733.44999999998</c:v>
                </c:pt>
              </c:numCache>
            </c:numRef>
          </c:val>
          <c:smooth val="0"/>
          <c:extLst>
            <c:ext xmlns:c16="http://schemas.microsoft.com/office/drawing/2014/chart" uri="{C3380CC4-5D6E-409C-BE32-E72D297353CC}">
              <c16:uniqueId val="{00000004-AA40-4DF9-A1A4-883AC76CDD89}"/>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a:t>
                </a:r>
                <a:r>
                  <a:rPr lang="en-US" baseline="0"/>
                  <a:t> Dollars</a:t>
                </a:r>
                <a:endParaRPr lang="en-US"/>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24</xdr:row>
      <xdr:rowOff>180975</xdr:rowOff>
    </xdr:from>
    <xdr:to>
      <xdr:col>0</xdr:col>
      <xdr:colOff>1893677</xdr:colOff>
      <xdr:row>28</xdr:row>
      <xdr:rowOff>150615</xdr:rowOff>
    </xdr:to>
    <xdr:pic>
      <xdr:nvPicPr>
        <xdr:cNvPr id="3" name="Picture 2">
          <a:extLst>
            <a:ext uri="{FF2B5EF4-FFF2-40B4-BE49-F238E27FC236}">
              <a16:creationId xmlns:a16="http://schemas.microsoft.com/office/drawing/2014/main" id="{483A6A01-2A4A-4AB7-AE17-68D575812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4762500"/>
          <a:ext cx="1712702" cy="73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1712702</xdr:colOff>
      <xdr:row>4</xdr:row>
      <xdr:rowOff>160140</xdr:rowOff>
    </xdr:to>
    <xdr:pic>
      <xdr:nvPicPr>
        <xdr:cNvPr id="5" name="Picture 4">
          <a:extLst>
            <a:ext uri="{FF2B5EF4-FFF2-40B4-BE49-F238E27FC236}">
              <a16:creationId xmlns:a16="http://schemas.microsoft.com/office/drawing/2014/main" id="{41B7435F-703A-4D29-B529-1F2E9211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712702" cy="731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88FE9545-A179-496F-AC74-68DB496B12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761146D4-7A54-44AF-8E03-25564C4B7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1051</xdr:colOff>
      <xdr:row>3</xdr:row>
      <xdr:rowOff>149678</xdr:rowOff>
    </xdr:to>
    <xdr:pic>
      <xdr:nvPicPr>
        <xdr:cNvPr id="3" name="Picture 2">
          <a:extLst>
            <a:ext uri="{FF2B5EF4-FFF2-40B4-BE49-F238E27FC236}">
              <a16:creationId xmlns:a16="http://schemas.microsoft.com/office/drawing/2014/main" id="{068A636A-79D6-407D-9956-6B9B19E6DA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E608DE-C2E7-40CC-88C5-9DBACD0ADA2B}" name="Table5" displayName="Table5" ref="A8:C15" totalsRowShown="0" headerRowDxfId="46" dataDxfId="45">
  <autoFilter ref="A8:C15" xr:uid="{1B7294FF-FC0E-4737-A24D-92B49BAAA5A8}">
    <filterColumn colId="0" hiddenButton="1"/>
    <filterColumn colId="1" hiddenButton="1"/>
    <filterColumn colId="2" hiddenButton="1"/>
  </autoFilter>
  <tableColumns count="3">
    <tableColumn id="1" xr3:uid="{5C780883-C5EF-408D-A206-FF007881DB6A}" name="Column Range Address" dataDxfId="44"/>
    <tableColumn id="2" xr3:uid="{AFE9B91B-C9F7-41B7-BD5D-4A3FAFE12AAC}" name="Column Name" dataDxfId="43"/>
    <tableColumn id="3" xr3:uid="{F82D1827-0317-411B-B42B-80EC0A29F0BD}" name="Description" dataDxfId="4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A63C96-AE8C-4594-BC23-D7FEDF580DA3}" name="Table6" displayName="Table6" ref="A18:C23" totalsRowShown="0" headerRowDxfId="41" dataDxfId="39" headerRowBorderDxfId="40" tableBorderDxfId="38">
  <autoFilter ref="A18:C23" xr:uid="{B090C266-0807-4EF9-A461-B8E8806B5C88}">
    <filterColumn colId="0" hiddenButton="1"/>
    <filterColumn colId="1" hiddenButton="1"/>
    <filterColumn colId="2" hiddenButton="1"/>
  </autoFilter>
  <tableColumns count="3">
    <tableColumn id="1" xr3:uid="{5D67E9CC-050C-41B7-A054-C4902CAAD9FF}" name="Range Address" dataDxfId="37"/>
    <tableColumn id="2" xr3:uid="{EF059AC3-9E91-41CF-9DF1-86CE917B5553}" name="Column Name" dataDxfId="36"/>
    <tableColumn id="3" xr3:uid="{0CE54D56-6105-4BE7-963F-696D2FF68444}" name="Description" dataDxfId="35"/>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E16197-E68E-435E-85B9-7B76B25C229C}" name="ExpenseTable303" displayName="ExpenseTable303" ref="C1000:AH1003" totalsRowCount="1">
  <autoFilter ref="C1000:AH1002" xr:uid="{CCE7CD88-4B96-43C8-B67E-12511920C93E}"/>
  <tableColumns count="32">
    <tableColumn id="1" xr3:uid="{32389033-C43C-42CB-B80C-7E84F62D78E4}" name="Reference Expenditure Sheets" totalsRowLabel="Total"/>
    <tableColumn id="2" xr3:uid="{DE2DFB3B-A43D-4FEC-83D3-AA088044AC97}" name="0" totalsRowFunction="sum" totalsRowDxfId="34">
      <calculatedColumnFormula>-IF($C1001="",0,INDIRECT("'"&amp; $C1001 &amp; "'!" &amp; "expenditures" &amp; ExpenseTable303[[#Headers],[0]]))</calculatedColumnFormula>
    </tableColumn>
    <tableColumn id="3" xr3:uid="{558C9149-C2CF-4556-A74F-64C16D325DCA}" name="1" totalsRowFunction="sum" totalsRowDxfId="33">
      <calculatedColumnFormula>-IF($C1001="",0,INDIRECT("'"&amp; $C1001 &amp; "'!" &amp; "expenditures" &amp; ExpenseTable303[[#Headers],[1]]))</calculatedColumnFormula>
    </tableColumn>
    <tableColumn id="4" xr3:uid="{0AB7109F-965F-4E44-9EDE-B13B21ADA5F3}" name="2" totalsRowFunction="sum" totalsRowDxfId="32">
      <calculatedColumnFormula>-IF($C1001="",0,INDIRECT("'"&amp; $C1001 &amp; "'!" &amp; "expenditures" &amp; ExpenseTable303[[#Headers],[2]]))</calculatedColumnFormula>
    </tableColumn>
    <tableColumn id="5" xr3:uid="{D85003F8-BDAD-43A3-9639-BA9BEB59792C}" name="3" totalsRowFunction="sum" totalsRowDxfId="31">
      <calculatedColumnFormula>-IF($C1001="",0,INDIRECT("'"&amp; $C1001 &amp; "'!" &amp; "expenditures" &amp; ExpenseTable303[[#Headers],[3]]))</calculatedColumnFormula>
    </tableColumn>
    <tableColumn id="6" xr3:uid="{1AFF42EA-5F32-4E7B-94C1-A4E7278507F4}" name="4" totalsRowFunction="sum" totalsRowDxfId="30">
      <calculatedColumnFormula>-IF($C1001="",0,INDIRECT("'"&amp; $C1001 &amp; "'!" &amp; "expenditures" &amp; ExpenseTable303[[#Headers],[4]]))</calculatedColumnFormula>
    </tableColumn>
    <tableColumn id="7" xr3:uid="{591F9D62-58A5-4EBA-B521-CD73A1B12550}" name="5" totalsRowFunction="sum" totalsRowDxfId="29">
      <calculatedColumnFormula>-IF($C1001="",0,INDIRECT("'"&amp; $C1001 &amp; "'!" &amp; "expenditures" &amp; ExpenseTable303[[#Headers],[5]]))</calculatedColumnFormula>
    </tableColumn>
    <tableColumn id="8" xr3:uid="{8C2294A3-27ED-4405-B96D-C2F6B59AF33E}" name="6" totalsRowFunction="sum" totalsRowDxfId="28">
      <calculatedColumnFormula>-IF($C1001="",0,INDIRECT("'"&amp; $C1001 &amp; "'!" &amp; "expenditures" &amp; ExpenseTable303[[#Headers],[6]]))</calculatedColumnFormula>
    </tableColumn>
    <tableColumn id="9" xr3:uid="{B6946162-779F-4FE4-BB78-BED6F16A8146}" name="7" totalsRowFunction="sum" totalsRowDxfId="27">
      <calculatedColumnFormula>-IF($C1001="",0,INDIRECT("'"&amp; $C1001 &amp; "'!" &amp; "expenditures" &amp; ExpenseTable303[[#Headers],[7]]))</calculatedColumnFormula>
    </tableColumn>
    <tableColumn id="10" xr3:uid="{0277A8AC-30E9-4DB4-8E16-04BEF504E4FD}" name="8" totalsRowFunction="sum" totalsRowDxfId="26">
      <calculatedColumnFormula>-IF($C1001="",0,INDIRECT("'"&amp; $C1001 &amp; "'!" &amp; "expenditures" &amp; ExpenseTable303[[#Headers],[8]]))</calculatedColumnFormula>
    </tableColumn>
    <tableColumn id="11" xr3:uid="{2751A846-09F1-4CB6-938D-56EFCF67DCBA}" name="9" totalsRowFunction="sum" totalsRowDxfId="25">
      <calculatedColumnFormula>-IF($C1001="",0,INDIRECT("'"&amp; $C1001 &amp; "'!" &amp; "expenditures" &amp; ExpenseTable303[[#Headers],[9]]))</calculatedColumnFormula>
    </tableColumn>
    <tableColumn id="12" xr3:uid="{8015F957-4990-46B2-80A4-394F195D47F5}" name="10" totalsRowFunction="sum" totalsRowDxfId="24">
      <calculatedColumnFormula>-IF($C1001="",0,INDIRECT("'"&amp; $C1001 &amp; "'!" &amp; "expenditures" &amp; ExpenseTable303[[#Headers],[10]]))</calculatedColumnFormula>
    </tableColumn>
    <tableColumn id="13" xr3:uid="{9B859ECA-9567-4B8E-9342-5D151D400370}" name="11" totalsRowFunction="sum" totalsRowDxfId="23">
      <calculatedColumnFormula>-IF($C1001="",0,INDIRECT("'"&amp; $C1001 &amp; "'!" &amp; "expenditures" &amp; ExpenseTable303[[#Headers],[11]]))</calculatedColumnFormula>
    </tableColumn>
    <tableColumn id="14" xr3:uid="{19465CDB-D87C-480F-B1B9-48A0A3F4593E}" name="12" totalsRowFunction="sum" totalsRowDxfId="22">
      <calculatedColumnFormula>-IF($C1001="",0,INDIRECT("'"&amp; $C1001 &amp; "'!" &amp; "expenditures" &amp; ExpenseTable303[[#Headers],[12]]))</calculatedColumnFormula>
    </tableColumn>
    <tableColumn id="15" xr3:uid="{FD9B02B8-BBAB-4EA8-BEE5-1A4E7BFB40A8}" name="13" totalsRowFunction="sum" totalsRowDxfId="21">
      <calculatedColumnFormula>-IF($C1001="",0,INDIRECT("'"&amp; $C1001 &amp; "'!" &amp; "expenditures" &amp; ExpenseTable303[[#Headers],[13]]))</calculatedColumnFormula>
    </tableColumn>
    <tableColumn id="16" xr3:uid="{53D1EF69-D5BA-438C-AD6E-65279CDD56EC}" name="14" totalsRowFunction="sum" totalsRowDxfId="20">
      <calculatedColumnFormula>-IF($C1001="",0,INDIRECT("'"&amp; $C1001 &amp; "'!" &amp; "expenditures" &amp; ExpenseTable303[[#Headers],[14]]))</calculatedColumnFormula>
    </tableColumn>
    <tableColumn id="17" xr3:uid="{50EFBD23-213A-4DA0-9A41-5D3F78361651}" name="15" totalsRowFunction="sum" totalsRowDxfId="19">
      <calculatedColumnFormula>-IF($C1001="",0,INDIRECT("'"&amp; $C1001 &amp; "'!" &amp; "expenditures" &amp; ExpenseTable303[[#Headers],[15]]))</calculatedColumnFormula>
    </tableColumn>
    <tableColumn id="18" xr3:uid="{9AE1564B-F55D-460F-81A1-6B395672080A}" name="16" totalsRowFunction="sum" totalsRowDxfId="18">
      <calculatedColumnFormula>-IF($C1001="",0,INDIRECT("'"&amp; $C1001 &amp; "'!" &amp; "expenditures" &amp; ExpenseTable303[[#Headers],[16]]))</calculatedColumnFormula>
    </tableColumn>
    <tableColumn id="19" xr3:uid="{A71C9EA6-B958-420B-8375-87011D36DB12}" name="17" totalsRowFunction="sum" totalsRowDxfId="17">
      <calculatedColumnFormula>-IF($C1001="",0,INDIRECT("'"&amp; $C1001 &amp; "'!" &amp; "expenditures" &amp; ExpenseTable303[[#Headers],[17]]))</calculatedColumnFormula>
    </tableColumn>
    <tableColumn id="20" xr3:uid="{F06B4258-3889-4CF1-8EE4-B6980FF7C184}" name="18" totalsRowFunction="sum" totalsRowDxfId="16">
      <calculatedColumnFormula>-IF($C1001="",0,INDIRECT("'"&amp; $C1001 &amp; "'!" &amp; "expenditures" &amp; ExpenseTable303[[#Headers],[18]]))</calculatedColumnFormula>
    </tableColumn>
    <tableColumn id="21" xr3:uid="{2E4B41FB-028F-4015-9AD3-5582B4BF16BF}" name="19" totalsRowFunction="sum" totalsRowDxfId="15">
      <calculatedColumnFormula>-IF($C1001="",0,INDIRECT("'"&amp; $C1001 &amp; "'!" &amp; "expenditures" &amp; ExpenseTable303[[#Headers],[19]]))</calculatedColumnFormula>
    </tableColumn>
    <tableColumn id="22" xr3:uid="{81565901-C700-4205-B19D-C58BF652E90E}" name="20" totalsRowFunction="sum" totalsRowDxfId="14">
      <calculatedColumnFormula>-IF($C1001="",0,INDIRECT("'"&amp; $C1001 &amp; "'!" &amp; "expenditures" &amp; ExpenseTable303[[#Headers],[20]]))</calculatedColumnFormula>
    </tableColumn>
    <tableColumn id="23" xr3:uid="{DFF49D30-5427-4C04-8C98-BC362607CDD1}" name="21" totalsRowFunction="sum" totalsRowDxfId="13">
      <calculatedColumnFormula>-IF($C1001="",0,INDIRECT("'"&amp; $C1001 &amp; "'!" &amp; "expenditures" &amp; ExpenseTable303[[#Headers],[21]]))</calculatedColumnFormula>
    </tableColumn>
    <tableColumn id="24" xr3:uid="{E002F72F-E681-45F4-BA23-03748B4AE327}" name="22" totalsRowFunction="sum" totalsRowDxfId="12">
      <calculatedColumnFormula>-IF($C1001="",0,INDIRECT("'"&amp; $C1001 &amp; "'!" &amp; "expenditures" &amp; ExpenseTable303[[#Headers],[22]]))</calculatedColumnFormula>
    </tableColumn>
    <tableColumn id="25" xr3:uid="{273970B6-8EE6-4CFF-985C-68CF785D9B2B}" name="23" totalsRowFunction="sum" totalsRowDxfId="11">
      <calculatedColumnFormula>-IF($C1001="",0,INDIRECT("'"&amp; $C1001 &amp; "'!" &amp; "expenditures" &amp; ExpenseTable303[[#Headers],[23]]))</calculatedColumnFormula>
    </tableColumn>
    <tableColumn id="26" xr3:uid="{3B38330A-8169-4CF3-9698-CC49F43A7E19}" name="24" totalsRowFunction="sum" totalsRowDxfId="10">
      <calculatedColumnFormula>-IF($C1001="",0,INDIRECT("'"&amp; $C1001 &amp; "'!" &amp; "expenditures" &amp; ExpenseTable303[[#Headers],[24]]))</calculatedColumnFormula>
    </tableColumn>
    <tableColumn id="27" xr3:uid="{9EF67417-5228-4DB4-A407-A703F1488F31}" name="25" totalsRowFunction="sum" totalsRowDxfId="9">
      <calculatedColumnFormula>-IF($C1001="",0,INDIRECT("'"&amp; $C1001 &amp; "'!" &amp; "expenditures" &amp; ExpenseTable303[[#Headers],[25]]))</calculatedColumnFormula>
    </tableColumn>
    <tableColumn id="28" xr3:uid="{34CB9EC0-A293-4481-9DE1-2C395784EFD2}" name="26" totalsRowFunction="sum" totalsRowDxfId="8">
      <calculatedColumnFormula>-IF($C1001="",0,INDIRECT("'"&amp; $C1001 &amp; "'!" &amp; "expenditures" &amp; ExpenseTable303[[#Headers],[26]]))</calculatedColumnFormula>
    </tableColumn>
    <tableColumn id="29" xr3:uid="{6306FE36-7A9E-41D2-9E8E-313D57133652}" name="27" totalsRowFunction="sum" totalsRowDxfId="7">
      <calculatedColumnFormula>-IF($C1001="",0,INDIRECT("'"&amp; $C1001 &amp; "'!" &amp; "expenditures" &amp; ExpenseTable303[[#Headers],[27]]))</calculatedColumnFormula>
    </tableColumn>
    <tableColumn id="30" xr3:uid="{91BC3584-18CB-426C-B395-A5102DC21BBC}" name="28" totalsRowFunction="sum" totalsRowDxfId="6">
      <calculatedColumnFormula>-IF($C1001="",0,INDIRECT("'"&amp; $C1001 &amp; "'!" &amp; "expenditures" &amp; ExpenseTable303[[#Headers],[28]]))</calculatedColumnFormula>
    </tableColumn>
    <tableColumn id="31" xr3:uid="{7678A27C-9131-45E1-B45B-4D34CF9A30C8}" name="29" totalsRowFunction="sum" totalsRowDxfId="5">
      <calculatedColumnFormula>-IF($C1001="",0,INDIRECT("'"&amp; $C1001 &amp; "'!" &amp; "expenditures" &amp; ExpenseTable303[[#Headers],[29]]))</calculatedColumnFormula>
    </tableColumn>
    <tableColumn id="32" xr3:uid="{51005D8B-7242-4E4B-9217-A6EDB91917E3}" name="30" totalsRowFunction="sum" totalsRowDxfId="4">
      <calculatedColumnFormula>-IF($C1001="",0,INDIRECT("'"&amp; $C1001 &amp; "'!" &amp; "expenditures" &amp; ExpenseTable303[[#Headers],[30]]))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D0D-C0A8-4E87-9A65-2161C466F0B4}">
  <sheetPr codeName="Sheet2">
    <tabColor rgb="FF000000"/>
  </sheetPr>
  <dimension ref="A1:R30"/>
  <sheetViews>
    <sheetView showGridLines="0" topLeftCell="B1" workbookViewId="0">
      <selection activeCell="B1" sqref="B1"/>
    </sheetView>
  </sheetViews>
  <sheetFormatPr defaultRowHeight="15" x14ac:dyDescent="0.25"/>
  <cols>
    <col min="1" max="1" width="43.42578125" customWidth="1"/>
    <col min="2" max="2" width="128.140625" customWidth="1"/>
  </cols>
  <sheetData>
    <row r="1" spans="1:2" x14ac:dyDescent="0.25">
      <c r="A1" s="76" t="s">
        <v>0</v>
      </c>
      <c r="B1" s="272" t="s">
        <v>185</v>
      </c>
    </row>
    <row r="2" spans="1:2" x14ac:dyDescent="0.25">
      <c r="A2" s="40" t="s">
        <v>1</v>
      </c>
      <c r="B2" s="41" t="s">
        <v>187</v>
      </c>
    </row>
    <row r="3" spans="1:2" ht="15" customHeight="1" x14ac:dyDescent="0.25">
      <c r="A3" s="40" t="s">
        <v>2</v>
      </c>
      <c r="B3" s="41" t="s">
        <v>188</v>
      </c>
    </row>
    <row r="4" spans="1:2" x14ac:dyDescent="0.25">
      <c r="A4" s="40" t="s">
        <v>3</v>
      </c>
      <c r="B4" s="41" t="s">
        <v>189</v>
      </c>
    </row>
    <row r="5" spans="1:2" x14ac:dyDescent="0.25">
      <c r="A5" s="40" t="s">
        <v>4</v>
      </c>
      <c r="B5" s="42" t="s">
        <v>190</v>
      </c>
    </row>
    <row r="6" spans="1:2" ht="15" customHeight="1" x14ac:dyDescent="0.25">
      <c r="A6" s="40" t="s">
        <v>5</v>
      </c>
      <c r="B6" s="41">
        <v>30</v>
      </c>
    </row>
    <row r="7" spans="1:2" ht="15" customHeight="1" x14ac:dyDescent="0.25">
      <c r="A7" s="40" t="s">
        <v>6</v>
      </c>
      <c r="B7" s="41">
        <v>20</v>
      </c>
    </row>
    <row r="8" spans="1:2" ht="15" customHeight="1" x14ac:dyDescent="0.25">
      <c r="A8" s="40" t="s">
        <v>184</v>
      </c>
      <c r="B8" s="41">
        <v>1</v>
      </c>
    </row>
    <row r="9" spans="1:2" ht="15" customHeight="1" x14ac:dyDescent="0.25">
      <c r="A9" s="40" t="s">
        <v>7</v>
      </c>
      <c r="B9" s="60">
        <v>46042</v>
      </c>
    </row>
    <row r="10" spans="1:2" x14ac:dyDescent="0.25">
      <c r="A10" s="40" t="s">
        <v>8</v>
      </c>
      <c r="B10" s="41">
        <v>2026</v>
      </c>
    </row>
    <row r="11" spans="1:2" x14ac:dyDescent="0.25">
      <c r="A11" s="40" t="s">
        <v>9</v>
      </c>
      <c r="B11" s="60">
        <v>46023</v>
      </c>
    </row>
    <row r="12" spans="1:2" ht="15" customHeight="1" x14ac:dyDescent="0.25">
      <c r="A12" s="40" t="s">
        <v>10</v>
      </c>
      <c r="B12" s="41">
        <v>2027</v>
      </c>
    </row>
    <row r="13" spans="1:2" ht="15" customHeight="1" x14ac:dyDescent="0.25">
      <c r="A13" s="40" t="s">
        <v>11</v>
      </c>
      <c r="B13" s="41">
        <v>11</v>
      </c>
    </row>
    <row r="14" spans="1:2" ht="15" customHeight="1" x14ac:dyDescent="0.25">
      <c r="A14" s="40" t="s">
        <v>12</v>
      </c>
      <c r="B14" s="41">
        <v>11</v>
      </c>
    </row>
    <row r="15" spans="1:2" ht="15" customHeight="1" x14ac:dyDescent="0.25">
      <c r="A15" s="40" t="s">
        <v>13</v>
      </c>
      <c r="B15" s="60">
        <v>46053</v>
      </c>
    </row>
    <row r="16" spans="1:2" ht="15" customHeight="1" x14ac:dyDescent="0.25">
      <c r="A16" s="40" t="s">
        <v>14</v>
      </c>
      <c r="B16" s="41" t="s">
        <v>191</v>
      </c>
    </row>
    <row r="17" spans="1:18" x14ac:dyDescent="0.25">
      <c r="A17" s="40" t="s">
        <v>15</v>
      </c>
      <c r="B17" s="61">
        <v>3.2000000000000001E-2</v>
      </c>
    </row>
    <row r="18" spans="1:18" x14ac:dyDescent="0.25">
      <c r="A18" s="40" t="s">
        <v>16</v>
      </c>
      <c r="B18" s="41">
        <v>2067</v>
      </c>
    </row>
    <row r="19" spans="1:18" x14ac:dyDescent="0.25">
      <c r="A19" s="40" t="s">
        <v>17</v>
      </c>
      <c r="B19" s="61">
        <v>3.2000000000000001E-2</v>
      </c>
    </row>
    <row r="20" spans="1:18" x14ac:dyDescent="0.25">
      <c r="A20" s="40" t="s">
        <v>18</v>
      </c>
      <c r="B20" s="61">
        <v>0.02</v>
      </c>
    </row>
    <row r="21" spans="1:18" ht="15.75" thickBot="1" x14ac:dyDescent="0.3">
      <c r="A21" s="77" t="s">
        <v>19</v>
      </c>
      <c r="B21" s="62">
        <v>12</v>
      </c>
    </row>
    <row r="22" spans="1:18" x14ac:dyDescent="0.25">
      <c r="A22" s="1" t="s">
        <v>20</v>
      </c>
      <c r="B22" s="316" t="s">
        <v>192</v>
      </c>
    </row>
    <row r="23" spans="1:18" x14ac:dyDescent="0.25">
      <c r="A23" s="1" t="s">
        <v>21</v>
      </c>
      <c r="B23" s="316">
        <v>100</v>
      </c>
    </row>
    <row r="24" spans="1:18" x14ac:dyDescent="0.25">
      <c r="A24" s="1" t="s">
        <v>22</v>
      </c>
      <c r="B24" s="317">
        <v>156000</v>
      </c>
    </row>
    <row r="25" spans="1:18" x14ac:dyDescent="0.25">
      <c r="A25" s="1" t="s">
        <v>23</v>
      </c>
      <c r="B25" s="316" t="s">
        <v>193</v>
      </c>
    </row>
    <row r="26" spans="1:18" ht="15" customHeight="1" x14ac:dyDescent="0.25">
      <c r="A26" s="43"/>
      <c r="B26" s="273" t="str">
        <f>"©"&amp;Current_Fiscal_Year&amp;" Reserve Advisors LLC. All rights reserved. Any unauthorized copying, alteration, distribution, transmission, display or other use of this spreadsheet and its contents, "&amp;"data or formula are strictly prohibited."&amp;" This spreadsheet is licensed to you pursuant to (and is subject in all respects to the terms and conditions of) your agreement with Reserve Advisors LLC.  "&amp;"Reserve Advisors LLC does not make, and expressly disclaims, any representations or warranties (express or implied), including, "&amp;"without limitation, as to the accuracy or timeliness of information prepared by you or any third parties, whether linked to this spreadsheet or incorporated herein."&amp;" We encourage you to contact us at www.reserveadvisors.com with any questions."</f>
        <v>©2026 Reserve Advisors LLC. All rights reserved. Any unauthorized copying, alteration, distribution, transmission, display or other use of this spreadsheet and its contents, data or formula are strictly prohibited. This spreadsheet is licensed to you pursuant to (and is subject in all respects to the terms and conditions of) your agreement with Reserve Advisors LLC.  Reserve Advisors LLC does not make, and expressly disclaims, any representations or warranties (express or implied), including, without limitation, as to the accuracy or timeliness of information prepared by you or any third parties, whether linked to this spreadsheet or incorporated herein. We encourage you to contact us at www.reserveadvisors.com with any questions.</v>
      </c>
      <c r="C26" s="56"/>
      <c r="D26" s="56"/>
      <c r="E26" s="56"/>
      <c r="F26" s="56"/>
      <c r="G26" s="56"/>
      <c r="H26" s="56"/>
      <c r="I26" s="56"/>
      <c r="J26" s="56"/>
      <c r="K26" s="56"/>
      <c r="L26" s="56"/>
      <c r="M26" s="56"/>
      <c r="N26" s="56"/>
      <c r="O26" s="56"/>
      <c r="P26" s="56"/>
      <c r="Q26" s="56"/>
      <c r="R26" s="56"/>
    </row>
    <row r="27" spans="1:18" x14ac:dyDescent="0.25">
      <c r="A27" s="43"/>
      <c r="B27" s="273"/>
      <c r="C27" s="56"/>
      <c r="D27" s="56"/>
      <c r="E27" s="56"/>
      <c r="F27" s="56"/>
      <c r="G27" s="56"/>
      <c r="H27" s="56"/>
      <c r="I27" s="56"/>
      <c r="J27" s="56"/>
      <c r="K27" s="56"/>
      <c r="L27" s="56"/>
      <c r="M27" s="56"/>
      <c r="N27" s="56"/>
      <c r="O27" s="56"/>
      <c r="P27" s="56"/>
      <c r="Q27" s="56"/>
      <c r="R27" s="56"/>
    </row>
    <row r="28" spans="1:18" ht="15" customHeight="1" x14ac:dyDescent="0.25">
      <c r="A28" s="43"/>
      <c r="B28" s="273"/>
      <c r="C28" s="56"/>
      <c r="D28" s="56"/>
      <c r="E28" s="56"/>
      <c r="F28" s="56"/>
      <c r="G28" s="56"/>
      <c r="H28" s="56"/>
      <c r="I28" s="56"/>
      <c r="J28" s="56"/>
      <c r="K28" s="56"/>
      <c r="L28" s="56"/>
      <c r="M28" s="56"/>
      <c r="N28" s="56"/>
      <c r="O28" s="56"/>
      <c r="P28" s="56"/>
      <c r="Q28" s="56"/>
      <c r="R28" s="56"/>
    </row>
    <row r="29" spans="1:18" x14ac:dyDescent="0.25">
      <c r="B29" s="273"/>
      <c r="C29" s="56"/>
      <c r="D29" s="56"/>
      <c r="E29" s="56"/>
      <c r="F29" s="56"/>
      <c r="G29" s="56"/>
      <c r="H29" s="56"/>
      <c r="I29" s="56"/>
      <c r="J29" s="56"/>
      <c r="K29" s="56"/>
      <c r="L29" s="56"/>
      <c r="M29" s="56"/>
      <c r="N29" s="56"/>
      <c r="O29" s="56"/>
      <c r="P29" s="56"/>
      <c r="Q29" s="56"/>
      <c r="R29" s="56"/>
    </row>
    <row r="30" spans="1:18" ht="15" customHeight="1" x14ac:dyDescent="0.25">
      <c r="B30" s="56"/>
      <c r="C30" s="56"/>
      <c r="D30" s="56"/>
      <c r="E30" s="56"/>
      <c r="F30" s="56"/>
      <c r="G30" s="56"/>
      <c r="H30" s="56"/>
      <c r="I30" s="56"/>
      <c r="J30" s="56"/>
      <c r="K30" s="56"/>
    </row>
  </sheetData>
  <mergeCells count="1">
    <mergeCell ref="B26:B29"/>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149-031B-423C-82B2-4CC4614DEB98}">
  <sheetPr codeName="Sheet4">
    <tabColor rgb="FF000000"/>
    <pageSetUpPr fitToPage="1"/>
  </sheetPr>
  <dimension ref="A6:C23"/>
  <sheetViews>
    <sheetView showGridLines="0" showRowColHeaders="0" zoomScale="110" zoomScaleNormal="110" workbookViewId="0"/>
  </sheetViews>
  <sheetFormatPr defaultRowHeight="15" x14ac:dyDescent="0.25"/>
  <cols>
    <col min="1" max="1" width="28" customWidth="1"/>
    <col min="2" max="2" width="33.5703125" customWidth="1"/>
    <col min="3" max="3" width="144.5703125" customWidth="1"/>
  </cols>
  <sheetData>
    <row r="6" spans="1:3" ht="15.75" thickBot="1" x14ac:dyDescent="0.3"/>
    <row r="7" spans="1:3" ht="15" customHeight="1" thickBot="1" x14ac:dyDescent="0.3">
      <c r="A7" s="274" t="s">
        <v>24</v>
      </c>
      <c r="B7" s="275"/>
      <c r="C7" s="276"/>
    </row>
    <row r="8" spans="1:3" x14ac:dyDescent="0.25">
      <c r="A8" s="45" t="s">
        <v>25</v>
      </c>
      <c r="B8" s="44" t="s">
        <v>26</v>
      </c>
      <c r="C8" s="46" t="s">
        <v>27</v>
      </c>
    </row>
    <row r="9" spans="1:3" x14ac:dyDescent="0.25">
      <c r="A9" s="47" t="s">
        <v>28</v>
      </c>
      <c r="B9" s="48" t="s">
        <v>29</v>
      </c>
      <c r="C9" s="51" t="s">
        <v>178</v>
      </c>
    </row>
    <row r="10" spans="1:3" ht="15" customHeight="1" x14ac:dyDescent="0.25">
      <c r="A10" s="47" t="s">
        <v>30</v>
      </c>
      <c r="B10" s="48" t="s">
        <v>31</v>
      </c>
      <c r="C10" s="51" t="s">
        <v>32</v>
      </c>
    </row>
    <row r="11" spans="1:3" x14ac:dyDescent="0.25">
      <c r="A11" s="47" t="s">
        <v>33</v>
      </c>
      <c r="B11" s="48" t="s">
        <v>34</v>
      </c>
      <c r="C11" s="51" t="s">
        <v>179</v>
      </c>
    </row>
    <row r="12" spans="1:3" ht="30" x14ac:dyDescent="0.25">
      <c r="A12" s="47" t="s">
        <v>35</v>
      </c>
      <c r="B12" s="48" t="s">
        <v>36</v>
      </c>
      <c r="C12" s="51" t="s">
        <v>180</v>
      </c>
    </row>
    <row r="13" spans="1:3" ht="30" x14ac:dyDescent="0.25">
      <c r="A13" s="47" t="s">
        <v>37</v>
      </c>
      <c r="B13" s="48" t="s">
        <v>38</v>
      </c>
      <c r="C13" s="51" t="s">
        <v>181</v>
      </c>
    </row>
    <row r="14" spans="1:3" x14ac:dyDescent="0.25">
      <c r="A14" s="47" t="s">
        <v>39</v>
      </c>
      <c r="B14" s="48" t="s">
        <v>40</v>
      </c>
      <c r="C14" s="51" t="s">
        <v>182</v>
      </c>
    </row>
    <row r="15" spans="1:3" ht="30.75" thickBot="1" x14ac:dyDescent="0.3">
      <c r="A15" s="49" t="s">
        <v>41</v>
      </c>
      <c r="B15" s="50" t="s">
        <v>42</v>
      </c>
      <c r="C15" s="52" t="s">
        <v>183</v>
      </c>
    </row>
    <row r="16" spans="1:3" ht="15.75" thickBot="1" x14ac:dyDescent="0.3"/>
    <row r="17" spans="1:3" ht="15.75" thickBot="1" x14ac:dyDescent="0.3">
      <c r="A17" s="277" t="s">
        <v>43</v>
      </c>
      <c r="B17" s="278"/>
      <c r="C17" s="279"/>
    </row>
    <row r="18" spans="1:3" x14ac:dyDescent="0.25">
      <c r="A18" s="53" t="s">
        <v>44</v>
      </c>
      <c r="B18" s="54" t="s">
        <v>26</v>
      </c>
      <c r="C18" s="55" t="s">
        <v>27</v>
      </c>
    </row>
    <row r="19" spans="1:3" x14ac:dyDescent="0.25">
      <c r="A19" s="47" t="s">
        <v>45</v>
      </c>
      <c r="B19" s="48" t="s">
        <v>46</v>
      </c>
      <c r="C19" s="51" t="s">
        <v>47</v>
      </c>
    </row>
    <row r="20" spans="1:3" ht="30" x14ac:dyDescent="0.25">
      <c r="A20" s="47" t="s">
        <v>48</v>
      </c>
      <c r="B20" s="48" t="s">
        <v>49</v>
      </c>
      <c r="C20" s="51" t="s">
        <v>50</v>
      </c>
    </row>
    <row r="21" spans="1:3" x14ac:dyDescent="0.25">
      <c r="A21" s="47" t="s">
        <v>51</v>
      </c>
      <c r="B21" s="48" t="s">
        <v>52</v>
      </c>
      <c r="C21" s="51" t="s">
        <v>53</v>
      </c>
    </row>
    <row r="22" spans="1:3" x14ac:dyDescent="0.25">
      <c r="A22" s="47" t="s">
        <v>54</v>
      </c>
      <c r="B22" s="48" t="s">
        <v>55</v>
      </c>
      <c r="C22" s="51" t="s">
        <v>56</v>
      </c>
    </row>
    <row r="23" spans="1:3" ht="15.75" thickBot="1" x14ac:dyDescent="0.3">
      <c r="A23" s="49" t="s">
        <v>57</v>
      </c>
      <c r="B23" s="50" t="s">
        <v>58</v>
      </c>
      <c r="C23" s="52" t="s">
        <v>59</v>
      </c>
    </row>
  </sheetData>
  <mergeCells count="2">
    <mergeCell ref="A7:C7"/>
    <mergeCell ref="A17:C17"/>
  </mergeCells>
  <pageMargins left="0.7" right="0.7" top="0.75" bottom="0.75" header="0.3" footer="0.3"/>
  <pageSetup scale="59" fitToHeight="0" orientation="portrait" horizontalDpi="1200" verticalDpi="1200"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CCDE-4B90-4A9D-95E2-7C8399804331}">
  <sheetPr>
    <tabColor rgb="FF538DD5"/>
  </sheetPr>
  <dimension ref="A1:EX2009"/>
  <sheetViews>
    <sheetView zoomScale="70" zoomScaleNormal="70" workbookViewId="0">
      <pane xSplit="14" ySplit="10" topLeftCell="O11" activePane="bottomRight" state="frozen"/>
      <selection pane="topRight" activeCell="O1" sqref="O1"/>
      <selection pane="bottomLeft" activeCell="A11" sqref="A11"/>
      <selection pane="bottomRight"/>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72" ht="30" customHeight="1" x14ac:dyDescent="0.35">
      <c r="A1" s="97"/>
      <c r="B1" s="98"/>
      <c r="C1" s="97"/>
      <c r="D1" s="97"/>
      <c r="E1" s="97"/>
      <c r="F1" s="97"/>
      <c r="G1" s="97"/>
      <c r="H1" s="97"/>
      <c r="I1" s="97"/>
      <c r="J1" s="101"/>
      <c r="K1" s="102"/>
      <c r="L1" s="102"/>
      <c r="M1" s="97"/>
      <c r="N1" s="103"/>
      <c r="O1" s="97"/>
      <c r="P1" s="97"/>
      <c r="Q1" s="97"/>
      <c r="R1" s="104"/>
      <c r="S1" s="98"/>
      <c r="T1" s="102"/>
      <c r="U1" s="102"/>
      <c r="V1" s="102"/>
      <c r="W1" s="97"/>
      <c r="X1" s="105"/>
      <c r="Y1" s="106" t="s">
        <v>61</v>
      </c>
      <c r="Z1" s="107"/>
      <c r="AA1" s="97"/>
      <c r="AB1" s="97"/>
      <c r="AC1" s="97"/>
      <c r="AD1" s="97"/>
      <c r="AE1" s="97"/>
      <c r="AF1" s="97"/>
      <c r="AG1" s="97"/>
      <c r="AH1" s="97"/>
      <c r="AI1" s="97"/>
      <c r="AJ1" s="97" t="str">
        <f ca="1">IF(COUNTIFS($J$10:J21,"&lt;&gt;0",$W$10:W21,"=0"),BB9 &amp; "+","")</f>
        <v/>
      </c>
      <c r="AK1" s="97"/>
      <c r="AL1" s="97"/>
      <c r="AM1" s="97"/>
      <c r="AN1" s="97"/>
      <c r="AO1" s="97"/>
      <c r="AP1" s="97"/>
      <c r="AQ1" s="97"/>
      <c r="AR1" s="97"/>
      <c r="AS1" s="97"/>
      <c r="AT1" s="97"/>
      <c r="AU1" s="97"/>
      <c r="AV1" s="97"/>
      <c r="AW1" s="97"/>
      <c r="AX1" s="97"/>
      <c r="AY1" s="97"/>
      <c r="AZ1" s="97"/>
      <c r="BA1" s="97"/>
      <c r="BB1" s="97"/>
    </row>
    <row r="2" spans="1:72"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3.2000000000000001E-2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72"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199</v>
      </c>
      <c r="Z3" s="131" t="s">
        <v>200</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72" ht="21.95" customHeight="1" x14ac:dyDescent="0.25">
      <c r="A4" s="97"/>
      <c r="B4" s="99"/>
      <c r="C4" s="100"/>
      <c r="D4" s="100"/>
      <c r="E4" s="100"/>
      <c r="F4" s="100"/>
      <c r="G4" s="100"/>
      <c r="H4" s="100"/>
      <c r="I4" s="100"/>
      <c r="J4" s="135"/>
      <c r="K4" s="121"/>
      <c r="L4" s="122"/>
      <c r="M4" s="136"/>
      <c r="N4" s="137" t="s">
        <v>194</v>
      </c>
      <c r="O4" s="138"/>
      <c r="P4" s="138"/>
      <c r="Q4" s="139"/>
      <c r="R4" s="140"/>
      <c r="S4" s="141"/>
      <c r="T4" s="142"/>
      <c r="U4" s="142"/>
      <c r="V4" s="142"/>
      <c r="W4" s="110"/>
      <c r="X4" s="143" t="str">
        <f ca="1">IF(Y4&lt;&gt;"","3)","")</f>
        <v/>
      </c>
      <c r="Y4" s="117" t="str">
        <f ca="1">IF(COUNTIFS($J$10:J21,"&lt;&gt;0",$W$10:W21,"=0"),BB9+1 &amp; "+","")</f>
        <v/>
      </c>
      <c r="Z4" s="284" t="str">
        <f ca="1">IF($Y$4&lt;&gt;"","indicates a component which is considered long-lived","")</f>
        <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72" ht="21.95" customHeight="1" x14ac:dyDescent="0.25">
      <c r="A5" s="97"/>
      <c r="B5" s="99"/>
      <c r="C5" s="100"/>
      <c r="D5" s="100"/>
      <c r="E5" s="100"/>
      <c r="F5" s="100"/>
      <c r="G5" s="100"/>
      <c r="H5" s="100"/>
      <c r="I5" s="100"/>
      <c r="J5" s="120"/>
      <c r="K5" s="121"/>
      <c r="L5" s="122"/>
      <c r="M5" s="123"/>
      <c r="N5" s="137" t="s">
        <v>195</v>
      </c>
      <c r="O5" s="145"/>
      <c r="P5" s="146"/>
      <c r="Q5" s="136"/>
      <c r="R5" s="147"/>
      <c r="S5" s="99"/>
      <c r="T5" s="148"/>
      <c r="U5" s="148"/>
      <c r="V5" s="148"/>
      <c r="W5" s="110"/>
      <c r="X5" s="117" t="str">
        <f ca="1">IF(X4="","","4)")</f>
        <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72" ht="18.95" customHeight="1" x14ac:dyDescent="0.25">
      <c r="A6" s="97"/>
      <c r="B6" s="99"/>
      <c r="C6" s="100"/>
      <c r="D6" s="100"/>
      <c r="E6" s="100"/>
      <c r="F6" s="100"/>
      <c r="G6" s="100"/>
      <c r="H6" s="100"/>
      <c r="I6" s="100"/>
      <c r="J6" s="120"/>
      <c r="K6" s="121"/>
      <c r="L6" s="122"/>
      <c r="M6" s="123"/>
      <c r="N6" s="152" t="s">
        <v>196</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72"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3.2000000000000001E-2</v>
      </c>
      <c r="Y7" s="167">
        <f t="shared" si="0"/>
        <v>3.2000000000000001E-2</v>
      </c>
      <c r="Z7" s="167">
        <f t="shared" si="0"/>
        <v>3.2000000000000001E-2</v>
      </c>
      <c r="AA7" s="167">
        <f t="shared" si="0"/>
        <v>3.2000000000000001E-2</v>
      </c>
      <c r="AB7" s="167">
        <f t="shared" si="0"/>
        <v>3.2000000000000001E-2</v>
      </c>
      <c r="AC7" s="167">
        <f t="shared" si="0"/>
        <v>3.2000000000000001E-2</v>
      </c>
      <c r="AD7" s="167">
        <f t="shared" si="0"/>
        <v>3.2000000000000001E-2</v>
      </c>
      <c r="AE7" s="167">
        <f t="shared" si="0"/>
        <v>3.2000000000000001E-2</v>
      </c>
      <c r="AF7" s="167">
        <f t="shared" si="0"/>
        <v>3.2000000000000001E-2</v>
      </c>
      <c r="AG7" s="167">
        <f t="shared" si="0"/>
        <v>3.2000000000000001E-2</v>
      </c>
      <c r="AH7" s="167">
        <f t="shared" si="0"/>
        <v>3.2000000000000001E-2</v>
      </c>
      <c r="AI7" s="167">
        <f t="shared" si="0"/>
        <v>3.2000000000000001E-2</v>
      </c>
      <c r="AJ7" s="167">
        <f t="shared" si="0"/>
        <v>3.2000000000000001E-2</v>
      </c>
      <c r="AK7" s="167">
        <f t="shared" si="0"/>
        <v>3.2000000000000001E-2</v>
      </c>
      <c r="AL7" s="167">
        <f t="shared" si="0"/>
        <v>3.2000000000000001E-2</v>
      </c>
      <c r="AM7" s="167">
        <f t="shared" si="0"/>
        <v>3.2000000000000001E-2</v>
      </c>
      <c r="AN7" s="167">
        <f t="shared" si="0"/>
        <v>3.2000000000000001E-2</v>
      </c>
      <c r="AO7" s="167">
        <f t="shared" si="0"/>
        <v>3.2000000000000001E-2</v>
      </c>
      <c r="AP7" s="167">
        <f t="shared" si="0"/>
        <v>3.2000000000000001E-2</v>
      </c>
      <c r="AQ7" s="167">
        <f t="shared" si="0"/>
        <v>3.2000000000000001E-2</v>
      </c>
      <c r="AR7" s="167">
        <f t="shared" si="0"/>
        <v>3.2000000000000001E-2</v>
      </c>
      <c r="AS7" s="167">
        <f t="shared" si="0"/>
        <v>3.2000000000000001E-2</v>
      </c>
      <c r="AT7" s="167">
        <f t="shared" si="0"/>
        <v>3.2000000000000001E-2</v>
      </c>
      <c r="AU7" s="167">
        <f t="shared" si="0"/>
        <v>3.2000000000000001E-2</v>
      </c>
      <c r="AV7" s="167">
        <f t="shared" si="0"/>
        <v>3.2000000000000001E-2</v>
      </c>
      <c r="AW7" s="167">
        <f t="shared" si="0"/>
        <v>3.2000000000000001E-2</v>
      </c>
      <c r="AX7" s="167">
        <f t="shared" si="0"/>
        <v>3.2000000000000001E-2</v>
      </c>
      <c r="AY7" s="167">
        <f t="shared" si="0"/>
        <v>3.2000000000000001E-2</v>
      </c>
      <c r="AZ7" s="167">
        <f t="shared" si="0"/>
        <v>3.2000000000000001E-2</v>
      </c>
      <c r="BA7" s="167">
        <f t="shared" si="0"/>
        <v>3.2000000000000001E-2</v>
      </c>
      <c r="BB7" s="167">
        <f t="shared" si="0"/>
        <v>3.2000000000000001E-2</v>
      </c>
      <c r="BC7" s="6"/>
      <c r="BD7" s="6"/>
      <c r="BE7" s="6"/>
      <c r="BF7" s="6"/>
      <c r="BG7" s="6"/>
      <c r="BH7" s="6"/>
      <c r="BI7" s="6"/>
      <c r="BJ7" s="6"/>
      <c r="BK7" s="6"/>
      <c r="BL7" s="6"/>
      <c r="BM7" s="6"/>
      <c r="BN7" s="6"/>
      <c r="BO7" s="6"/>
      <c r="BP7" s="6"/>
      <c r="BQ7" s="6"/>
      <c r="BR7" s="6"/>
      <c r="BS7" s="6"/>
      <c r="BT7" s="6"/>
    </row>
    <row r="8" spans="1:72"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72"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 &amp; Current_Fiscal_Year &amp; ")"</f>
        <v>(2026)</v>
      </c>
      <c r="S9" s="172" t="s">
        <v>96</v>
      </c>
      <c r="T9" s="171" t="str">
        <f>"(" &amp; Current_Fiscal_Year &amp; ")"</f>
        <v>(2026)</v>
      </c>
      <c r="U9" s="171" t="str">
        <f>"(" &amp; Current_Fiscal_Year &amp; ")"</f>
        <v>(2026)</v>
      </c>
      <c r="V9" s="160" t="s">
        <v>97</v>
      </c>
      <c r="W9" s="163" t="s">
        <v>98</v>
      </c>
      <c r="X9" s="177">
        <f>'Property Info'!B10</f>
        <v>2026</v>
      </c>
      <c r="Y9" s="174">
        <f>X9+1</f>
        <v>2027</v>
      </c>
      <c r="Z9" s="174">
        <f t="shared" ref="Z9:BB9" si="1">Y9+1</f>
        <v>2028</v>
      </c>
      <c r="AA9" s="174">
        <f t="shared" si="1"/>
        <v>2029</v>
      </c>
      <c r="AB9" s="174">
        <f t="shared" si="1"/>
        <v>2030</v>
      </c>
      <c r="AC9" s="174">
        <f t="shared" si="1"/>
        <v>2031</v>
      </c>
      <c r="AD9" s="174">
        <f t="shared" si="1"/>
        <v>2032</v>
      </c>
      <c r="AE9" s="174">
        <f t="shared" si="1"/>
        <v>2033</v>
      </c>
      <c r="AF9" s="174">
        <f t="shared" si="1"/>
        <v>2034</v>
      </c>
      <c r="AG9" s="174">
        <f t="shared" si="1"/>
        <v>2035</v>
      </c>
      <c r="AH9" s="174">
        <f t="shared" si="1"/>
        <v>2036</v>
      </c>
      <c r="AI9" s="174">
        <f t="shared" si="1"/>
        <v>2037</v>
      </c>
      <c r="AJ9" s="174">
        <f t="shared" si="1"/>
        <v>2038</v>
      </c>
      <c r="AK9" s="174">
        <f t="shared" si="1"/>
        <v>2039</v>
      </c>
      <c r="AL9" s="174">
        <f t="shared" si="1"/>
        <v>2040</v>
      </c>
      <c r="AM9" s="174">
        <f t="shared" si="1"/>
        <v>2041</v>
      </c>
      <c r="AN9" s="174">
        <f t="shared" si="1"/>
        <v>2042</v>
      </c>
      <c r="AO9" s="174">
        <f t="shared" si="1"/>
        <v>2043</v>
      </c>
      <c r="AP9" s="174">
        <f t="shared" si="1"/>
        <v>2044</v>
      </c>
      <c r="AQ9" s="174">
        <f t="shared" si="1"/>
        <v>2045</v>
      </c>
      <c r="AR9" s="174">
        <f t="shared" si="1"/>
        <v>2046</v>
      </c>
      <c r="AS9" s="174">
        <f t="shared" si="1"/>
        <v>2047</v>
      </c>
      <c r="AT9" s="174">
        <f t="shared" si="1"/>
        <v>2048</v>
      </c>
      <c r="AU9" s="174">
        <f t="shared" si="1"/>
        <v>2049</v>
      </c>
      <c r="AV9" s="174">
        <f t="shared" si="1"/>
        <v>2050</v>
      </c>
      <c r="AW9" s="174">
        <f t="shared" si="1"/>
        <v>2051</v>
      </c>
      <c r="AX9" s="174">
        <f t="shared" si="1"/>
        <v>2052</v>
      </c>
      <c r="AY9" s="174">
        <f t="shared" si="1"/>
        <v>2053</v>
      </c>
      <c r="AZ9" s="174">
        <f t="shared" si="1"/>
        <v>2054</v>
      </c>
      <c r="BA9" s="174">
        <f t="shared" si="1"/>
        <v>2055</v>
      </c>
      <c r="BB9" s="174">
        <f t="shared" si="1"/>
        <v>2056</v>
      </c>
      <c r="BC9" s="4"/>
      <c r="BD9" s="4"/>
      <c r="BE9" s="4"/>
      <c r="BF9" s="4"/>
      <c r="BG9" s="4"/>
      <c r="BH9" s="4"/>
      <c r="BI9" s="4"/>
      <c r="BJ9" s="4"/>
      <c r="BK9" s="4"/>
      <c r="BL9" s="4"/>
      <c r="BM9" s="4"/>
      <c r="BN9" s="4"/>
      <c r="BO9" s="4"/>
      <c r="BP9" s="4"/>
      <c r="BQ9" s="4"/>
      <c r="BR9" s="4"/>
      <c r="BS9" s="4"/>
      <c r="BT9" s="4"/>
    </row>
    <row r="10" spans="1:72"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72" ht="39.75" customHeight="1" x14ac:dyDescent="0.25">
      <c r="A11" s="7">
        <f ca="1">IF(OFFSET($B11,IF(AND($K11=0,NOT(ISBLANK($K11))),-4,-3),-1)=0,1,0)</f>
        <v>1</v>
      </c>
      <c r="B11" s="78"/>
      <c r="C11" s="11"/>
      <c r="D11" s="12"/>
      <c r="E11" s="12"/>
      <c r="F11" s="13"/>
      <c r="G11" s="12"/>
      <c r="H11" s="9"/>
      <c r="I11" s="9"/>
      <c r="J11" s="65"/>
      <c r="K11" s="75"/>
      <c r="L11" s="75"/>
      <c r="M11" s="3"/>
      <c r="N11" s="318" t="s">
        <v>201</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72" ht="39.75" customHeight="1" x14ac:dyDescent="0.25">
      <c r="A12" s="7">
        <f ca="1">IF(OFFSET($B12,IF(AND($K12=0,NOT(ISBLANK($K12))),-4,-3),-1)=0,1,0)</f>
        <v>1</v>
      </c>
      <c r="B12" s="78">
        <v>1</v>
      </c>
      <c r="C12" s="11">
        <v>1</v>
      </c>
      <c r="D12" s="12">
        <f>(($E12-1)*$C12)+1</f>
        <v>1</v>
      </c>
      <c r="E12" s="12">
        <v>1</v>
      </c>
      <c r="F12" s="13">
        <v>2031</v>
      </c>
      <c r="G12" s="12">
        <v>5</v>
      </c>
      <c r="H12" s="9">
        <v>0.01</v>
      </c>
      <c r="I12" s="9"/>
      <c r="J12" s="65">
        <v>4.0199999999999996</v>
      </c>
      <c r="K12" s="75">
        <v>4200</v>
      </c>
      <c r="L12" s="75">
        <f>IF(M12="Allowance",1,ROUND(K12*B12/E12/H12,0)*H12)</f>
        <v>4200</v>
      </c>
      <c r="M12" s="3" t="s">
        <v>202</v>
      </c>
      <c r="N12" s="3" t="s">
        <v>203</v>
      </c>
      <c r="O12" s="57">
        <f>IF($F12&gt;$BB$9,$F12,Current_Fiscal_Year+MATCH(TRUE,INDEX($X12:$BB12&lt;&gt;"",0),0)-1)</f>
        <v>2031</v>
      </c>
      <c r="P12" s="57" t="s">
        <v>204</v>
      </c>
      <c r="Q12" s="57" t="str">
        <f>$O12-Current_Fiscal_Year&amp;IF($B12&lt;1," to "&amp;Study_Length&amp;"+",IF( $E12&gt;1," to "&amp;IF($O12-Current_Fiscal_Year+$D12-1&gt;Study_Length,Study_Length&amp;"+",$O12-Current_Fiscal_Year+$D12-1),""))</f>
        <v>5</v>
      </c>
      <c r="R12" s="69">
        <v>3</v>
      </c>
      <c r="S12" s="72">
        <v>1</v>
      </c>
      <c r="T12" s="75">
        <f>$L12*$R12*$S12</f>
        <v>12600</v>
      </c>
      <c r="U12" s="75">
        <f>$K12*$R12*$S12</f>
        <v>12600</v>
      </c>
      <c r="V12" s="75">
        <f ca="1">SUM(OFFSET($X12,,,1,Study_Length+1))</f>
        <v>115780.3</v>
      </c>
      <c r="W12" s="58">
        <f ca="1">$V12/Total_Study_Expenditures</f>
        <v>0.14431038343423799</v>
      </c>
      <c r="X12" s="59" t="str">
        <f t="shared" ref="X12:BB20"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t="str">
        <f t="shared" si="2"/>
        <v/>
      </c>
      <c r="Z12" s="59" t="str">
        <f t="shared" si="2"/>
        <v/>
      </c>
      <c r="AA12" s="59" t="str">
        <f t="shared" si="2"/>
        <v/>
      </c>
      <c r="AB12" s="59" t="str">
        <f t="shared" si="2"/>
        <v/>
      </c>
      <c r="AC12" s="59">
        <f t="shared" si="2"/>
        <v>14749.2</v>
      </c>
      <c r="AD12" s="59" t="str">
        <f t="shared" si="2"/>
        <v/>
      </c>
      <c r="AE12" s="59" t="str">
        <f t="shared" si="2"/>
        <v/>
      </c>
      <c r="AF12" s="59" t="str">
        <f t="shared" si="2"/>
        <v/>
      </c>
      <c r="AG12" s="59" t="str">
        <f t="shared" si="2"/>
        <v/>
      </c>
      <c r="AH12" s="59">
        <f t="shared" si="2"/>
        <v>17265</v>
      </c>
      <c r="AI12" s="59" t="str">
        <f t="shared" si="2"/>
        <v/>
      </c>
      <c r="AJ12" s="59" t="str">
        <f t="shared" si="2"/>
        <v/>
      </c>
      <c r="AK12" s="59" t="str">
        <f t="shared" si="2"/>
        <v/>
      </c>
      <c r="AL12" s="59" t="str">
        <f t="shared" si="2"/>
        <v/>
      </c>
      <c r="AM12" s="59"/>
      <c r="AN12" s="59" t="str">
        <f t="shared" si="2"/>
        <v/>
      </c>
      <c r="AO12" s="59" t="str">
        <f t="shared" si="2"/>
        <v/>
      </c>
      <c r="AP12" s="59" t="str">
        <f t="shared" si="2"/>
        <v/>
      </c>
      <c r="AQ12" s="59" t="str">
        <f t="shared" si="2"/>
        <v/>
      </c>
      <c r="AR12" s="59">
        <f t="shared" si="2"/>
        <v>23657.3</v>
      </c>
      <c r="AS12" s="59" t="str">
        <f t="shared" si="2"/>
        <v/>
      </c>
      <c r="AT12" s="59" t="str">
        <f t="shared" si="2"/>
        <v/>
      </c>
      <c r="AU12" s="59" t="str">
        <f t="shared" si="2"/>
        <v/>
      </c>
      <c r="AV12" s="59" t="str">
        <f t="shared" si="2"/>
        <v/>
      </c>
      <c r="AW12" s="59">
        <f t="shared" si="2"/>
        <v>27692.6</v>
      </c>
      <c r="AX12" s="59" t="str">
        <f t="shared" si="2"/>
        <v/>
      </c>
      <c r="AY12" s="59" t="str">
        <f t="shared" si="2"/>
        <v/>
      </c>
      <c r="AZ12" s="59" t="str">
        <f t="shared" si="2"/>
        <v/>
      </c>
      <c r="BA12" s="59" t="str">
        <f t="shared" si="2"/>
        <v/>
      </c>
      <c r="BB12" s="59">
        <f t="shared" si="2"/>
        <v>32416.2</v>
      </c>
    </row>
    <row r="13" spans="1:72" ht="39.75" customHeight="1" x14ac:dyDescent="0.25">
      <c r="A13" s="7">
        <f ca="1">IF(OFFSET($B13,IF(AND($K13=0,NOT(ISBLANK($K13))),-4,-3),-1)=0,1,0)</f>
        <v>1</v>
      </c>
      <c r="B13" s="78">
        <v>1</v>
      </c>
      <c r="C13" s="11">
        <v>1</v>
      </c>
      <c r="D13" s="12">
        <f>(($E13-1)*$C13)+1</f>
        <v>1</v>
      </c>
      <c r="E13" s="12">
        <v>1</v>
      </c>
      <c r="F13" s="13">
        <v>2041</v>
      </c>
      <c r="G13" s="12">
        <v>25</v>
      </c>
      <c r="H13" s="9">
        <v>0.01</v>
      </c>
      <c r="I13" s="9"/>
      <c r="J13" s="65">
        <v>4.04</v>
      </c>
      <c r="K13" s="75">
        <v>4200</v>
      </c>
      <c r="L13" s="75">
        <f>IF(M13="Allowance",1,ROUND(K13*B13/E13/H13,0)*H13)</f>
        <v>4200</v>
      </c>
      <c r="M13" s="3" t="s">
        <v>202</v>
      </c>
      <c r="N13" s="3" t="s">
        <v>205</v>
      </c>
      <c r="O13" s="57">
        <f>IF($F13&gt;$BB$9,$F13,Current_Fiscal_Year+MATCH(TRUE,INDEX($X13:$BB13&lt;&gt;"",0),0)-1)</f>
        <v>2041</v>
      </c>
      <c r="P13" s="57" t="s">
        <v>206</v>
      </c>
      <c r="Q13" s="57" t="str">
        <f>$O13-Current_Fiscal_Year&amp;IF($B13&lt;1," to "&amp;Study_Length&amp;"+",IF( $E13&gt;1," to "&amp;IF($O13-Current_Fiscal_Year+$D13-1&gt;Study_Length,Study_Length&amp;"+",$O13-Current_Fiscal_Year+$D13-1),""))</f>
        <v>15</v>
      </c>
      <c r="R13" s="69">
        <v>20</v>
      </c>
      <c r="S13" s="72">
        <v>1</v>
      </c>
      <c r="T13" s="75">
        <f>$L13*$R13*$S13</f>
        <v>84000</v>
      </c>
      <c r="U13" s="75">
        <f>$K13*$R13*$S13</f>
        <v>84000</v>
      </c>
      <c r="V13" s="75">
        <f ca="1">SUM(OFFSET($X13,,,1,Study_Length+1))</f>
        <v>134733.20000000001</v>
      </c>
      <c r="W13" s="58">
        <f ca="1">$V13/Total_Study_Expenditures</f>
        <v>0.16793357551605823</v>
      </c>
      <c r="X13" s="59" t="str">
        <f t="shared" si="2"/>
        <v/>
      </c>
      <c r="Y13" s="59" t="str">
        <f t="shared" si="2"/>
        <v/>
      </c>
      <c r="Z13" s="59" t="str">
        <f t="shared" si="2"/>
        <v/>
      </c>
      <c r="AA13" s="59" t="str">
        <f t="shared" si="2"/>
        <v/>
      </c>
      <c r="AB13" s="59" t="str">
        <f t="shared" si="2"/>
        <v/>
      </c>
      <c r="AC13" s="59" t="str">
        <f t="shared" si="2"/>
        <v/>
      </c>
      <c r="AD13" s="59" t="str">
        <f t="shared" si="2"/>
        <v/>
      </c>
      <c r="AE13" s="59" t="str">
        <f t="shared" si="2"/>
        <v/>
      </c>
      <c r="AF13" s="59" t="str">
        <f t="shared" si="2"/>
        <v/>
      </c>
      <c r="AG13" s="59" t="str">
        <f t="shared" si="2"/>
        <v/>
      </c>
      <c r="AH13" s="59" t="str">
        <f t="shared" si="2"/>
        <v/>
      </c>
      <c r="AI13" s="59" t="str">
        <f t="shared" si="2"/>
        <v/>
      </c>
      <c r="AJ13" s="59" t="str">
        <f t="shared" si="2"/>
        <v/>
      </c>
      <c r="AK13" s="59" t="str">
        <f t="shared" si="2"/>
        <v/>
      </c>
      <c r="AL13" s="59" t="str">
        <f t="shared" si="2"/>
        <v/>
      </c>
      <c r="AM13" s="59">
        <f t="shared" si="2"/>
        <v>134733.20000000001</v>
      </c>
      <c r="AN13" s="59" t="str">
        <f t="shared" si="2"/>
        <v/>
      </c>
      <c r="AO13" s="59" t="str">
        <f t="shared" si="2"/>
        <v/>
      </c>
      <c r="AP13" s="59" t="str">
        <f t="shared" si="2"/>
        <v/>
      </c>
      <c r="AQ13" s="59" t="str">
        <f t="shared" si="2"/>
        <v/>
      </c>
      <c r="AR13" s="59" t="str">
        <f t="shared" si="2"/>
        <v/>
      </c>
      <c r="AS13" s="59" t="str">
        <f t="shared" si="2"/>
        <v/>
      </c>
      <c r="AT13" s="59" t="str">
        <f t="shared" si="2"/>
        <v/>
      </c>
      <c r="AU13" s="59" t="str">
        <f t="shared" si="2"/>
        <v/>
      </c>
      <c r="AV13" s="59" t="str">
        <f t="shared" si="2"/>
        <v/>
      </c>
      <c r="AW13" s="59" t="str">
        <f t="shared" si="2"/>
        <v/>
      </c>
      <c r="AX13" s="59" t="str">
        <f t="shared" si="2"/>
        <v/>
      </c>
      <c r="AY13" s="59" t="str">
        <f t="shared" si="2"/>
        <v/>
      </c>
      <c r="AZ13" s="59" t="str">
        <f t="shared" si="2"/>
        <v/>
      </c>
      <c r="BA13" s="59" t="str">
        <f t="shared" si="2"/>
        <v/>
      </c>
      <c r="BB13" s="59" t="str">
        <f t="shared" si="2"/>
        <v/>
      </c>
    </row>
    <row r="14" spans="1:72" ht="39.75" customHeight="1" x14ac:dyDescent="0.25">
      <c r="A14" s="7">
        <f ca="1">IF(OFFSET($B14,IF(AND($K14=0,NOT(ISBLANK($K14))),-4,-3),-1)=0,1,0)</f>
        <v>0</v>
      </c>
      <c r="B14" s="78">
        <v>0.3</v>
      </c>
      <c r="C14" s="11">
        <v>1</v>
      </c>
      <c r="D14" s="12">
        <f>(($E14-1)*$C14)+1</f>
        <v>1</v>
      </c>
      <c r="E14" s="12">
        <v>1</v>
      </c>
      <c r="F14" s="13">
        <v>2041</v>
      </c>
      <c r="G14" s="12">
        <v>25</v>
      </c>
      <c r="H14" s="9">
        <v>0.01</v>
      </c>
      <c r="I14" s="9"/>
      <c r="J14" s="65">
        <v>4.1100000000000003</v>
      </c>
      <c r="K14" s="75">
        <v>3200</v>
      </c>
      <c r="L14" s="75">
        <f>IF(M14="Allowance",1,ROUND(K14*B14/E14/H14,0)*H14)</f>
        <v>960</v>
      </c>
      <c r="M14" s="3" t="s">
        <v>207</v>
      </c>
      <c r="N14" s="3" t="s">
        <v>208</v>
      </c>
      <c r="O14" s="57">
        <f>IF($F14&gt;$BB$9,$F14,Current_Fiscal_Year+MATCH(TRUE,INDEX($X14:$BB14&lt;&gt;"",0),0)-1)</f>
        <v>2041</v>
      </c>
      <c r="P14" s="57" t="s">
        <v>209</v>
      </c>
      <c r="Q14" s="57" t="str">
        <f>$O14-Current_Fiscal_Year&amp;IF($B14&lt;1," to "&amp;Study_Length&amp;"+",IF( $E14&gt;1," to "&amp;IF($O14-Current_Fiscal_Year+$D14-1&gt;Study_Length,Study_Length&amp;"+",$O14-Current_Fiscal_Year+$D14-1),""))</f>
        <v>15 to 30+</v>
      </c>
      <c r="R14" s="69">
        <v>40</v>
      </c>
      <c r="S14" s="72">
        <v>1</v>
      </c>
      <c r="T14" s="75">
        <f>$L14*$R14*$S14</f>
        <v>38400</v>
      </c>
      <c r="U14" s="75">
        <f>$K14*$R14*$S14</f>
        <v>128000</v>
      </c>
      <c r="V14" s="75">
        <f ca="1">SUM(OFFSET($X14,,,1,Study_Length+1))</f>
        <v>61592.3</v>
      </c>
      <c r="W14" s="58">
        <f ca="1">$V14/Total_Study_Expenditures</f>
        <v>7.6769609593312652E-2</v>
      </c>
      <c r="X14" s="59" t="str">
        <f t="shared" si="2"/>
        <v/>
      </c>
      <c r="Y14" s="59" t="str">
        <f t="shared" si="2"/>
        <v/>
      </c>
      <c r="Z14" s="59" t="str">
        <f t="shared" si="2"/>
        <v/>
      </c>
      <c r="AA14" s="59" t="str">
        <f t="shared" si="2"/>
        <v/>
      </c>
      <c r="AB14" s="59" t="str">
        <f t="shared" si="2"/>
        <v/>
      </c>
      <c r="AC14" s="59" t="str">
        <f t="shared" si="2"/>
        <v/>
      </c>
      <c r="AD14" s="59" t="str">
        <f t="shared" si="2"/>
        <v/>
      </c>
      <c r="AE14" s="59" t="str">
        <f t="shared" si="2"/>
        <v/>
      </c>
      <c r="AF14" s="59" t="str">
        <f t="shared" si="2"/>
        <v/>
      </c>
      <c r="AG14" s="59" t="str">
        <f t="shared" si="2"/>
        <v/>
      </c>
      <c r="AH14" s="59" t="str">
        <f t="shared" si="2"/>
        <v/>
      </c>
      <c r="AI14" s="59" t="str">
        <f t="shared" si="2"/>
        <v/>
      </c>
      <c r="AJ14" s="59" t="str">
        <f t="shared" si="2"/>
        <v/>
      </c>
      <c r="AK14" s="59" t="str">
        <f t="shared" si="2"/>
        <v/>
      </c>
      <c r="AL14" s="59" t="str">
        <f t="shared" si="2"/>
        <v/>
      </c>
      <c r="AM14" s="59">
        <f t="shared" si="2"/>
        <v>61592.3</v>
      </c>
      <c r="AN14" s="59" t="str">
        <f t="shared" si="2"/>
        <v/>
      </c>
      <c r="AO14" s="59" t="str">
        <f t="shared" si="2"/>
        <v/>
      </c>
      <c r="AP14" s="59" t="str">
        <f t="shared" si="2"/>
        <v/>
      </c>
      <c r="AQ14" s="59" t="str">
        <f t="shared" si="2"/>
        <v/>
      </c>
      <c r="AR14" s="59" t="str">
        <f t="shared" si="2"/>
        <v/>
      </c>
      <c r="AS14" s="59" t="str">
        <f t="shared" si="2"/>
        <v/>
      </c>
      <c r="AT14" s="59" t="str">
        <f t="shared" si="2"/>
        <v/>
      </c>
      <c r="AU14" s="59" t="str">
        <f t="shared" si="2"/>
        <v/>
      </c>
      <c r="AV14" s="59" t="str">
        <f t="shared" si="2"/>
        <v/>
      </c>
      <c r="AW14" s="59" t="str">
        <f t="shared" si="2"/>
        <v/>
      </c>
      <c r="AX14" s="59" t="str">
        <f t="shared" si="2"/>
        <v/>
      </c>
      <c r="AY14" s="59" t="str">
        <f t="shared" si="2"/>
        <v/>
      </c>
      <c r="AZ14" s="59" t="str">
        <f t="shared" si="2"/>
        <v/>
      </c>
      <c r="BA14" s="59" t="str">
        <f t="shared" si="2"/>
        <v/>
      </c>
      <c r="BB14" s="59" t="str">
        <f t="shared" si="2"/>
        <v/>
      </c>
    </row>
    <row r="15" spans="1:72" ht="39.75" customHeight="1" x14ac:dyDescent="0.25">
      <c r="A15" s="7">
        <f ca="1">IF(OFFSET($B15,IF(AND($K15=0,NOT(ISBLANK($K15))),-4,-3),-1)=0,1,0)</f>
        <v>0</v>
      </c>
      <c r="B15" s="78">
        <v>1</v>
      </c>
      <c r="C15" s="11">
        <v>1</v>
      </c>
      <c r="D15" s="12">
        <f>(($E15-1)*$C15)+1</f>
        <v>1</v>
      </c>
      <c r="E15" s="12">
        <v>1</v>
      </c>
      <c r="F15" s="13">
        <v>2029</v>
      </c>
      <c r="G15" s="12">
        <v>7</v>
      </c>
      <c r="H15" s="9">
        <v>0.01</v>
      </c>
      <c r="I15" s="9"/>
      <c r="J15" s="65">
        <v>4.24</v>
      </c>
      <c r="K15" s="75">
        <v>450</v>
      </c>
      <c r="L15" s="75">
        <f>IF(M15="Allowance",1,ROUND(K15*B15/E15/H15,0)*H15)</f>
        <v>450</v>
      </c>
      <c r="M15" s="3" t="s">
        <v>207</v>
      </c>
      <c r="N15" s="3" t="s">
        <v>210</v>
      </c>
      <c r="O15" s="57">
        <f>IF($F15&gt;$BB$9,$F15,Current_Fiscal_Year+MATCH(TRUE,INDEX($X15:$BB15&lt;&gt;"",0),0)-1)</f>
        <v>2029</v>
      </c>
      <c r="P15" s="57" t="s">
        <v>211</v>
      </c>
      <c r="Q15" s="57" t="str">
        <f>$O15-Current_Fiscal_Year&amp;IF($B15&lt;1," to "&amp;Study_Length&amp;"+",IF( $E15&gt;1," to "&amp;IF($O15-Current_Fiscal_Year+$D15-1&gt;Study_Length,Study_Length&amp;"+",$O15-Current_Fiscal_Year+$D15-1),""))</f>
        <v>3</v>
      </c>
      <c r="R15" s="69">
        <v>11</v>
      </c>
      <c r="S15" s="72">
        <v>1</v>
      </c>
      <c r="T15" s="75">
        <f>$L15*$R15*$S15</f>
        <v>4950</v>
      </c>
      <c r="U15" s="75">
        <f>$K15*$R15*$S15</f>
        <v>4950</v>
      </c>
      <c r="V15" s="75">
        <f ca="1">SUM(OFFSET($X15,,,1,Study_Length+1))</f>
        <v>20679.199999999997</v>
      </c>
      <c r="W15" s="58">
        <f ca="1">$V15/Total_Study_Expenditures</f>
        <v>2.5774879501204384E-2</v>
      </c>
      <c r="X15" s="59" t="str">
        <f t="shared" si="2"/>
        <v/>
      </c>
      <c r="Y15" s="59" t="str">
        <f t="shared" si="2"/>
        <v/>
      </c>
      <c r="Z15" s="59" t="str">
        <f t="shared" si="2"/>
        <v/>
      </c>
      <c r="AA15" s="59">
        <f t="shared" si="2"/>
        <v>5440.6</v>
      </c>
      <c r="AB15" s="59" t="str">
        <f t="shared" si="2"/>
        <v/>
      </c>
      <c r="AC15" s="59" t="str">
        <f t="shared" si="2"/>
        <v/>
      </c>
      <c r="AD15" s="59" t="str">
        <f t="shared" si="2"/>
        <v/>
      </c>
      <c r="AE15" s="59" t="str">
        <f t="shared" si="2"/>
        <v/>
      </c>
      <c r="AF15" s="59" t="str">
        <f t="shared" si="2"/>
        <v/>
      </c>
      <c r="AG15" s="59" t="str">
        <f t="shared" si="2"/>
        <v/>
      </c>
      <c r="AH15" s="59">
        <f t="shared" si="2"/>
        <v>6782.7</v>
      </c>
      <c r="AI15" s="59" t="str">
        <f t="shared" si="2"/>
        <v/>
      </c>
      <c r="AJ15" s="59" t="str">
        <f t="shared" si="2"/>
        <v/>
      </c>
      <c r="AK15" s="59" t="str">
        <f t="shared" si="2"/>
        <v/>
      </c>
      <c r="AL15" s="59" t="str">
        <f t="shared" si="2"/>
        <v/>
      </c>
      <c r="AM15" s="59" t="str">
        <f t="shared" si="2"/>
        <v/>
      </c>
      <c r="AN15" s="59" t="str">
        <f t="shared" si="2"/>
        <v/>
      </c>
      <c r="AO15" s="59">
        <f t="shared" si="2"/>
        <v>8455.9</v>
      </c>
      <c r="AP15" s="59" t="str">
        <f t="shared" si="2"/>
        <v/>
      </c>
      <c r="AQ15" s="59" t="str">
        <f t="shared" si="2"/>
        <v/>
      </c>
      <c r="AR15" s="59" t="str">
        <f t="shared" si="2"/>
        <v/>
      </c>
      <c r="AS15" s="59" t="str">
        <f t="shared" si="2"/>
        <v/>
      </c>
      <c r="AT15" s="59" t="str">
        <f t="shared" si="2"/>
        <v/>
      </c>
      <c r="AU15" s="59" t="str">
        <f t="shared" si="2"/>
        <v/>
      </c>
      <c r="AV15" s="59"/>
      <c r="AW15" s="59"/>
      <c r="AX15" s="59" t="str">
        <f t="shared" si="2"/>
        <v/>
      </c>
      <c r="AY15" s="59" t="str">
        <f t="shared" si="2"/>
        <v/>
      </c>
      <c r="AZ15" s="59" t="str">
        <f t="shared" si="2"/>
        <v/>
      </c>
      <c r="BA15" s="59" t="str">
        <f t="shared" si="2"/>
        <v/>
      </c>
      <c r="BB15" s="59" t="str">
        <f t="shared" si="2"/>
        <v/>
      </c>
    </row>
    <row r="16" spans="1:72" ht="39.75" customHeight="1" x14ac:dyDescent="0.25">
      <c r="A16" s="7">
        <f ca="1">IF(OFFSET($B16,IF(AND($K16=0,NOT(ISBLANK($K16))),-4,-3),-1)=0,1,0)</f>
        <v>0</v>
      </c>
      <c r="B16" s="78">
        <v>1</v>
      </c>
      <c r="C16" s="11">
        <v>1</v>
      </c>
      <c r="D16" s="12">
        <f>(($E16-1)*$C16)+1</f>
        <v>1</v>
      </c>
      <c r="E16" s="12">
        <v>1</v>
      </c>
      <c r="F16" s="13">
        <v>2050</v>
      </c>
      <c r="G16" s="12">
        <v>35</v>
      </c>
      <c r="H16" s="9">
        <v>0.01</v>
      </c>
      <c r="I16" s="9"/>
      <c r="J16" s="65">
        <v>4.2450000000000001</v>
      </c>
      <c r="K16" s="75">
        <v>450</v>
      </c>
      <c r="L16" s="75">
        <f>IF(M16="Allowance",1,ROUND(K16*B16/E16/H16,0)*H16)</f>
        <v>450</v>
      </c>
      <c r="M16" s="3" t="s">
        <v>207</v>
      </c>
      <c r="N16" s="3" t="s">
        <v>212</v>
      </c>
      <c r="O16" s="57">
        <f>IF($F16&gt;$BB$9,$F16,Current_Fiscal_Year+MATCH(TRUE,INDEX($X16:$BB16&lt;&gt;"",0),0)-1)</f>
        <v>2050</v>
      </c>
      <c r="P16" s="57" t="s">
        <v>213</v>
      </c>
      <c r="Q16" s="57" t="str">
        <f>$O16-Current_Fiscal_Year&amp;IF($B16&lt;1," to "&amp;Study_Length&amp;"+",IF( $E16&gt;1," to "&amp;IF($O16-Current_Fiscal_Year+$D16-1&gt;Study_Length,Study_Length&amp;"+",$O16-Current_Fiscal_Year+$D16-1),""))</f>
        <v>24</v>
      </c>
      <c r="R16" s="69">
        <v>100</v>
      </c>
      <c r="S16" s="72">
        <v>1</v>
      </c>
      <c r="T16" s="75">
        <f>$L16*$R16*$S16</f>
        <v>45000</v>
      </c>
      <c r="U16" s="75">
        <f>$K16*$R16*$S16</f>
        <v>45000</v>
      </c>
      <c r="V16" s="75">
        <f ca="1">SUM(OFFSET($X16,,,1,Study_Length+1))</f>
        <v>95835.199999999997</v>
      </c>
      <c r="W16" s="58">
        <f ca="1">$V16/Total_Study_Expenditures</f>
        <v>0.11945049769690426</v>
      </c>
      <c r="X16" s="59" t="str">
        <f t="shared" si="2"/>
        <v/>
      </c>
      <c r="Y16" s="59" t="str">
        <f t="shared" si="2"/>
        <v/>
      </c>
      <c r="Z16" s="59" t="str">
        <f t="shared" si="2"/>
        <v/>
      </c>
      <c r="AA16" s="59" t="str">
        <f t="shared" si="2"/>
        <v/>
      </c>
      <c r="AB16" s="59" t="str">
        <f t="shared" si="2"/>
        <v/>
      </c>
      <c r="AC16" s="59" t="str">
        <f t="shared" si="2"/>
        <v/>
      </c>
      <c r="AD16" s="59" t="str">
        <f t="shared" si="2"/>
        <v/>
      </c>
      <c r="AE16" s="59" t="str">
        <f t="shared" si="2"/>
        <v/>
      </c>
      <c r="AF16" s="59" t="str">
        <f t="shared" si="2"/>
        <v/>
      </c>
      <c r="AG16" s="59" t="str">
        <f t="shared" si="2"/>
        <v/>
      </c>
      <c r="AH16" s="59" t="str">
        <f t="shared" si="2"/>
        <v/>
      </c>
      <c r="AI16" s="59" t="str">
        <f t="shared" si="2"/>
        <v/>
      </c>
      <c r="AJ16" s="59" t="str">
        <f t="shared" si="2"/>
        <v/>
      </c>
      <c r="AK16" s="59" t="str">
        <f t="shared" si="2"/>
        <v/>
      </c>
      <c r="AL16" s="59" t="str">
        <f t="shared" si="2"/>
        <v/>
      </c>
      <c r="AM16" s="59" t="str">
        <f t="shared" si="2"/>
        <v/>
      </c>
      <c r="AN16" s="59" t="str">
        <f t="shared" si="2"/>
        <v/>
      </c>
      <c r="AO16" s="59" t="str">
        <f t="shared" si="2"/>
        <v/>
      </c>
      <c r="AP16" s="59" t="str">
        <f t="shared" si="2"/>
        <v/>
      </c>
      <c r="AQ16" s="59" t="str">
        <f t="shared" si="2"/>
        <v/>
      </c>
      <c r="AR16" s="59" t="str">
        <f t="shared" si="2"/>
        <v/>
      </c>
      <c r="AS16" s="59" t="str">
        <f t="shared" si="2"/>
        <v/>
      </c>
      <c r="AT16" s="59" t="str">
        <f t="shared" si="2"/>
        <v/>
      </c>
      <c r="AU16" s="59" t="str">
        <f t="shared" si="2"/>
        <v/>
      </c>
      <c r="AV16" s="59">
        <f t="shared" si="2"/>
        <v>95835.199999999997</v>
      </c>
      <c r="AW16" s="59" t="str">
        <f t="shared" si="2"/>
        <v/>
      </c>
      <c r="AX16" s="59" t="str">
        <f t="shared" si="2"/>
        <v/>
      </c>
      <c r="AY16" s="59" t="str">
        <f t="shared" si="2"/>
        <v/>
      </c>
      <c r="AZ16" s="59" t="str">
        <f t="shared" si="2"/>
        <v/>
      </c>
      <c r="BA16" s="59" t="str">
        <f t="shared" si="2"/>
        <v/>
      </c>
      <c r="BB16" s="59" t="str">
        <f t="shared" si="2"/>
        <v/>
      </c>
    </row>
    <row r="17" spans="1:154" ht="39.75" customHeight="1" x14ac:dyDescent="0.25">
      <c r="A17" s="7">
        <f ca="1">IF(OFFSET($B17,IF(AND($K17=0,NOT(ISBLANK($K17))),-4,-3),-1)=0,1,0)</f>
        <v>1</v>
      </c>
      <c r="B17" s="78">
        <v>1</v>
      </c>
      <c r="C17" s="11">
        <v>1</v>
      </c>
      <c r="D17" s="12">
        <f>(($E17-1)*$C17)+1</f>
        <v>1</v>
      </c>
      <c r="E17" s="12">
        <v>1</v>
      </c>
      <c r="F17" s="13">
        <v>2036</v>
      </c>
      <c r="G17" s="12">
        <v>15</v>
      </c>
      <c r="H17" s="9">
        <v>0.01</v>
      </c>
      <c r="I17" s="9"/>
      <c r="J17" s="65">
        <v>4.3099999999999996</v>
      </c>
      <c r="K17" s="75">
        <v>1</v>
      </c>
      <c r="L17" s="75">
        <f>IF(M17="Allowance",1,ROUND(K17*B17/E17/H17,0)*H17)</f>
        <v>1</v>
      </c>
      <c r="M17" s="3" t="s">
        <v>214</v>
      </c>
      <c r="N17" s="3" t="s">
        <v>215</v>
      </c>
      <c r="O17" s="57">
        <f>IF($F17&gt;$BB$9,$F17,Current_Fiscal_Year+MATCH(TRUE,INDEX($X17:$BB17&lt;&gt;"",0),0)-1)</f>
        <v>2036</v>
      </c>
      <c r="P17" s="57" t="s">
        <v>216</v>
      </c>
      <c r="Q17" s="57" t="str">
        <f>$O17-Current_Fiscal_Year&amp;IF($B17&lt;1," to "&amp;Study_Length&amp;"+",IF( $E17&gt;1," to "&amp;IF($O17-Current_Fiscal_Year+$D17-1&gt;Study_Length,Study_Length&amp;"+",$O17-Current_Fiscal_Year+$D17-1),""))</f>
        <v>10</v>
      </c>
      <c r="R17" s="69">
        <v>34000</v>
      </c>
      <c r="S17" s="72">
        <v>1</v>
      </c>
      <c r="T17" s="75">
        <f>$L17*$R17*$S17</f>
        <v>34000</v>
      </c>
      <c r="U17" s="75">
        <f>$K17*$R17*$S17</f>
        <v>34000</v>
      </c>
      <c r="V17" s="75">
        <f ca="1">SUM(OFFSET($X17,,,1,Study_Length+1))</f>
        <v>121314.09999999999</v>
      </c>
      <c r="W17" s="58">
        <f ca="1">$V17/Total_Study_Expenditures</f>
        <v>0.15120779862359562</v>
      </c>
      <c r="X17" s="59" t="str">
        <f t="shared" si="2"/>
        <v/>
      </c>
      <c r="Y17" s="59" t="str">
        <f t="shared" si="2"/>
        <v/>
      </c>
      <c r="Z17" s="59" t="str">
        <f t="shared" si="2"/>
        <v/>
      </c>
      <c r="AA17" s="59" t="str">
        <f t="shared" si="2"/>
        <v/>
      </c>
      <c r="AB17" s="59" t="str">
        <f t="shared" si="2"/>
        <v/>
      </c>
      <c r="AC17" s="59" t="str">
        <f t="shared" si="2"/>
        <v/>
      </c>
      <c r="AD17" s="59" t="str">
        <f t="shared" si="2"/>
        <v/>
      </c>
      <c r="AE17" s="59" t="str">
        <f t="shared" si="2"/>
        <v/>
      </c>
      <c r="AF17" s="59" t="str">
        <f t="shared" si="2"/>
        <v/>
      </c>
      <c r="AG17" s="59" t="str">
        <f t="shared" si="2"/>
        <v/>
      </c>
      <c r="AH17" s="59">
        <f t="shared" si="2"/>
        <v>46588.2</v>
      </c>
      <c r="AI17" s="59" t="str">
        <f t="shared" si="2"/>
        <v/>
      </c>
      <c r="AJ17" s="59" t="str">
        <f t="shared" si="2"/>
        <v/>
      </c>
      <c r="AK17" s="59" t="str">
        <f t="shared" si="2"/>
        <v/>
      </c>
      <c r="AL17" s="59" t="str">
        <f t="shared" si="2"/>
        <v/>
      </c>
      <c r="AM17" s="59" t="str">
        <f t="shared" si="2"/>
        <v/>
      </c>
      <c r="AN17" s="59" t="str">
        <f t="shared" si="2"/>
        <v/>
      </c>
      <c r="AO17" s="59" t="str">
        <f t="shared" si="2"/>
        <v/>
      </c>
      <c r="AP17" s="59" t="str">
        <f t="shared" si="2"/>
        <v/>
      </c>
      <c r="AQ17" s="59" t="str">
        <f t="shared" si="2"/>
        <v/>
      </c>
      <c r="AR17" s="59" t="str">
        <f t="shared" si="2"/>
        <v/>
      </c>
      <c r="AS17" s="59" t="str">
        <f t="shared" si="2"/>
        <v/>
      </c>
      <c r="AT17" s="59" t="str">
        <f t="shared" si="2"/>
        <v/>
      </c>
      <c r="AU17" s="59" t="str">
        <f t="shared" si="2"/>
        <v/>
      </c>
      <c r="AV17" s="59" t="str">
        <f t="shared" si="2"/>
        <v/>
      </c>
      <c r="AW17" s="59">
        <f t="shared" si="2"/>
        <v>74725.899999999994</v>
      </c>
      <c r="AX17" s="59" t="str">
        <f t="shared" si="2"/>
        <v/>
      </c>
      <c r="AY17" s="59" t="str">
        <f t="shared" si="2"/>
        <v/>
      </c>
      <c r="AZ17" s="59" t="str">
        <f t="shared" si="2"/>
        <v/>
      </c>
      <c r="BA17" s="59" t="str">
        <f t="shared" si="2"/>
        <v/>
      </c>
      <c r="BB17" s="59" t="str">
        <f t="shared" si="2"/>
        <v/>
      </c>
    </row>
    <row r="18" spans="1:154" ht="39.75" customHeight="1" x14ac:dyDescent="0.25">
      <c r="A18" s="7">
        <f ca="1">IF(OFFSET($B18,IF(AND($K18=0,NOT(ISBLANK($K18))),-4,-3),-1)=0,1,0)</f>
        <v>1</v>
      </c>
      <c r="B18" s="78">
        <v>1</v>
      </c>
      <c r="C18" s="11">
        <v>1</v>
      </c>
      <c r="D18" s="12">
        <f>(($E18-1)*$C18)+1</f>
        <v>2</v>
      </c>
      <c r="E18" s="12">
        <v>2</v>
      </c>
      <c r="F18" s="13">
        <v>2028</v>
      </c>
      <c r="G18" s="12">
        <v>10</v>
      </c>
      <c r="H18" s="9">
        <v>0.01</v>
      </c>
      <c r="I18" s="9"/>
      <c r="J18" s="65">
        <v>4.32</v>
      </c>
      <c r="K18" s="75">
        <v>8</v>
      </c>
      <c r="L18" s="75">
        <f>IF(M18="Allowance",1,ROUND(K18*B18/E18/H18,0)*H18)</f>
        <v>4</v>
      </c>
      <c r="M18" s="3" t="s">
        <v>217</v>
      </c>
      <c r="N18" s="3" t="s">
        <v>218</v>
      </c>
      <c r="O18" s="57">
        <f>IF($F18&gt;$BB$9,$F18,Current_Fiscal_Year+MATCH(TRUE,INDEX($X18:$BB18&lt;&gt;"",0),0)-1)</f>
        <v>2028</v>
      </c>
      <c r="P18" s="57" t="s">
        <v>219</v>
      </c>
      <c r="Q18" s="57" t="str">
        <f>$O18-Current_Fiscal_Year&amp;IF($B18&lt;1," to "&amp;Study_Length&amp;"+",IF( $E18&gt;1," to "&amp;IF($O18-Current_Fiscal_Year+$D18-1&gt;Study_Length,Study_Length&amp;"+",$O18-Current_Fiscal_Year+$D18-1),""))</f>
        <v>2 to 3</v>
      </c>
      <c r="R18" s="69">
        <v>4900</v>
      </c>
      <c r="S18" s="72">
        <v>1</v>
      </c>
      <c r="T18" s="75">
        <f>$L18*$R18*$S18</f>
        <v>19600</v>
      </c>
      <c r="U18" s="75">
        <f>$K18*$R18*$S18</f>
        <v>39200</v>
      </c>
      <c r="V18" s="75">
        <f ca="1">SUM(OFFSET($X18,,,1,Study_Length+1))</f>
        <v>180178.85000000003</v>
      </c>
      <c r="W18" s="58">
        <f ca="1">$V18/Total_Study_Expenditures</f>
        <v>0.22457774707994413</v>
      </c>
      <c r="X18" s="59" t="str">
        <f t="shared" si="2"/>
        <v/>
      </c>
      <c r="Y18" s="59" t="str">
        <f t="shared" si="2"/>
        <v/>
      </c>
      <c r="Z18" s="59">
        <f t="shared" si="2"/>
        <v>20874.5</v>
      </c>
      <c r="AA18" s="59">
        <f>IFERROR(IFERROR(IF(OR(AA$8 = ($F18 - Current_Fiscal_Year),AND(MOD($F18-AA$9,$G18)=0,AA$9&gt;$F18)),IF(secondaryInflationYear- Current_Fiscal_Year &gt;=AA$8,ROUND($L18* $R18*$S18*((1 + AA$7)^AA$8),1),ROUND($L18* $R18*$S18*(((1+secondaryInflation)^(secondaryInflationYear-Current_Fiscal_Year)) * ((1+AA$7)^(AA$8-(secondaryInflationYear - Current_Fiscal_Year)))),1)),IF(AND($D18&lt;&gt;1,AA$8 &gt; ($F18 - Current_Fiscal_Year),(AA$8 - (($F18 - Current_Fiscal_Year)+$G18*INT(((AA$8 - ($F18 - Current_Fiscal_Year)) / $G18))))/((($D18 - $E18)/($E18-1))+1) = INT((AA$8 - (($F18 - Current_Fiscal_Year)+$G18*INT(((AA$8 - ($F18 - Current_Fiscal_Year)) / $G18))))/((($D18 - $E18)/($E18-1))+1)), (AA$8 - (($F18 - Current_Fiscal_Year)+$G18*INT(((AA$8 - ($F18 - Current_Fiscal_Year)) / $G18)))) &lt;$D18),IF(secondaryInflationYear- Current_Fiscal_Year &gt;=AA$8,ROUND($L18* $R18*$S18*((1 + AA$7)^AA$8),1),ROUND($L18* $R18*$S18*(((1+secondaryInflation)^(secondaryInflationYear-Current_Fiscal_Year)) * ((1+AA$7)^(AA$8-(secondaryInflationYear - Current_Fiscal_Year)))),1)),"")),"")*0.999997679006615,"")</f>
        <v>21542.450000000004</v>
      </c>
      <c r="AB18" s="59" t="str">
        <f t="shared" si="2"/>
        <v/>
      </c>
      <c r="AC18" s="59" t="str">
        <f t="shared" si="2"/>
        <v/>
      </c>
      <c r="AD18" s="59" t="str">
        <f t="shared" si="2"/>
        <v/>
      </c>
      <c r="AE18" s="59" t="str">
        <f t="shared" si="2"/>
        <v/>
      </c>
      <c r="AF18" s="59" t="str">
        <f t="shared" si="2"/>
        <v/>
      </c>
      <c r="AG18" s="59" t="str">
        <f t="shared" si="2"/>
        <v/>
      </c>
      <c r="AH18" s="59" t="str">
        <f t="shared" si="2"/>
        <v/>
      </c>
      <c r="AI18" s="59" t="str">
        <f t="shared" si="2"/>
        <v/>
      </c>
      <c r="AJ18" s="59">
        <f t="shared" si="2"/>
        <v>28603.1</v>
      </c>
      <c r="AK18" s="59">
        <f t="shared" si="2"/>
        <v>29518.400000000001</v>
      </c>
      <c r="AL18" s="59" t="str">
        <f t="shared" si="2"/>
        <v/>
      </c>
      <c r="AM18" s="59" t="str">
        <f t="shared" si="2"/>
        <v/>
      </c>
      <c r="AN18" s="59" t="str">
        <f t="shared" si="2"/>
        <v/>
      </c>
      <c r="AO18" s="59" t="str">
        <f t="shared" si="2"/>
        <v/>
      </c>
      <c r="AP18" s="59" t="str">
        <f t="shared" si="2"/>
        <v/>
      </c>
      <c r="AQ18" s="59" t="str">
        <f t="shared" si="2"/>
        <v/>
      </c>
      <c r="AR18" s="59" t="str">
        <f t="shared" si="2"/>
        <v/>
      </c>
      <c r="AS18" s="59" t="str">
        <f t="shared" si="2"/>
        <v/>
      </c>
      <c r="AT18" s="59">
        <f t="shared" si="2"/>
        <v>39193.1</v>
      </c>
      <c r="AU18" s="59">
        <f t="shared" si="2"/>
        <v>40447.300000000003</v>
      </c>
      <c r="AV18" s="59" t="str">
        <f t="shared" si="2"/>
        <v/>
      </c>
      <c r="AW18" s="59" t="str">
        <f t="shared" si="2"/>
        <v/>
      </c>
      <c r="AX18" s="59" t="str">
        <f t="shared" si="2"/>
        <v/>
      </c>
      <c r="AY18" s="59" t="str">
        <f t="shared" si="2"/>
        <v/>
      </c>
      <c r="AZ18" s="59" t="str">
        <f t="shared" si="2"/>
        <v/>
      </c>
      <c r="BA18" s="59" t="str">
        <f t="shared" si="2"/>
        <v/>
      </c>
      <c r="BB18" s="59" t="str">
        <f t="shared" si="2"/>
        <v/>
      </c>
    </row>
    <row r="19" spans="1:154" ht="39.75" customHeight="1" x14ac:dyDescent="0.25">
      <c r="A19" s="7">
        <f ca="1">IF(OFFSET($B19,IF(AND($K19=0,NOT(ISBLANK($K19))),-4,-3),-1)=0,1,0)</f>
        <v>1</v>
      </c>
      <c r="B19" s="78">
        <v>1</v>
      </c>
      <c r="C19" s="11">
        <v>1</v>
      </c>
      <c r="D19" s="12">
        <f>(($E19-1)*$C19)+1</f>
        <v>1</v>
      </c>
      <c r="E19" s="12">
        <v>1</v>
      </c>
      <c r="F19" s="13">
        <v>2038</v>
      </c>
      <c r="G19" s="12">
        <v>20</v>
      </c>
      <c r="H19" s="9">
        <v>0.01</v>
      </c>
      <c r="I19" s="9"/>
      <c r="J19" s="65">
        <v>4.33</v>
      </c>
      <c r="K19" s="75">
        <v>4</v>
      </c>
      <c r="L19" s="75">
        <f>IF(M19="Allowance",1,ROUND(K19*B19/E19/H19,0)*H19)</f>
        <v>4</v>
      </c>
      <c r="M19" s="3" t="s">
        <v>217</v>
      </c>
      <c r="N19" s="3" t="s">
        <v>220</v>
      </c>
      <c r="O19" s="57">
        <f>IF($F19&gt;$BB$9,$F19,Current_Fiscal_Year+MATCH(TRUE,INDEX($X19:$BB19&lt;&gt;"",0),0)-1)</f>
        <v>2038</v>
      </c>
      <c r="P19" s="57" t="s">
        <v>221</v>
      </c>
      <c r="Q19" s="57" t="str">
        <f>$O19-Current_Fiscal_Year&amp;IF($B19&lt;1," to "&amp;Study_Length&amp;"+",IF( $E19&gt;1," to "&amp;IF($O19-Current_Fiscal_Year+$D19-1&gt;Study_Length,Study_Length&amp;"+",$O19-Current_Fiscal_Year+$D19-1),""))</f>
        <v>12</v>
      </c>
      <c r="R19" s="69">
        <v>7800</v>
      </c>
      <c r="S19" s="72">
        <v>1</v>
      </c>
      <c r="T19" s="75">
        <f>$L19*$R19*$S19</f>
        <v>31200</v>
      </c>
      <c r="U19" s="75">
        <f>$K19*$R19*$S19</f>
        <v>31200</v>
      </c>
      <c r="V19" s="75">
        <f ca="1">SUM(OFFSET($X19,,,1,Study_Length+1))</f>
        <v>45531.4</v>
      </c>
      <c r="W19" s="58">
        <f ca="1">$V19/Total_Study_Expenditures</f>
        <v>5.6751051709985754E-2</v>
      </c>
      <c r="X19" s="59" t="str">
        <f t="shared" si="2"/>
        <v/>
      </c>
      <c r="Y19" s="59" t="str">
        <f t="shared" si="2"/>
        <v/>
      </c>
      <c r="Z19" s="59" t="str">
        <f t="shared" si="2"/>
        <v/>
      </c>
      <c r="AA19" s="59" t="str">
        <f t="shared" si="2"/>
        <v/>
      </c>
      <c r="AB19" s="59" t="str">
        <f t="shared" si="2"/>
        <v/>
      </c>
      <c r="AC19" s="59" t="str">
        <f t="shared" si="2"/>
        <v/>
      </c>
      <c r="AD19" s="59" t="str">
        <f t="shared" si="2"/>
        <v/>
      </c>
      <c r="AE19" s="59" t="str">
        <f t="shared" si="2"/>
        <v/>
      </c>
      <c r="AF19" s="59" t="str">
        <f t="shared" si="2"/>
        <v/>
      </c>
      <c r="AG19" s="59" t="str">
        <f t="shared" si="2"/>
        <v/>
      </c>
      <c r="AH19" s="59" t="str">
        <f t="shared" si="2"/>
        <v/>
      </c>
      <c r="AI19" s="59" t="str">
        <f t="shared" si="2"/>
        <v/>
      </c>
      <c r="AJ19" s="59">
        <f t="shared" si="2"/>
        <v>45531.4</v>
      </c>
      <c r="AK19" s="59" t="str">
        <f t="shared" si="2"/>
        <v/>
      </c>
      <c r="AL19" s="59" t="str">
        <f t="shared" si="2"/>
        <v/>
      </c>
      <c r="AM19" s="59" t="str">
        <f t="shared" si="2"/>
        <v/>
      </c>
      <c r="AN19" s="59" t="str">
        <f t="shared" si="2"/>
        <v/>
      </c>
      <c r="AO19" s="59" t="str">
        <f t="shared" si="2"/>
        <v/>
      </c>
      <c r="AP19" s="59" t="str">
        <f t="shared" si="2"/>
        <v/>
      </c>
      <c r="AQ19" s="59" t="str">
        <f t="shared" si="2"/>
        <v/>
      </c>
      <c r="AR19" s="59" t="str">
        <f t="shared" si="2"/>
        <v/>
      </c>
      <c r="AS19" s="59" t="str">
        <f t="shared" si="2"/>
        <v/>
      </c>
      <c r="AT19" s="59" t="str">
        <f t="shared" si="2"/>
        <v/>
      </c>
      <c r="AU19" s="59" t="str">
        <f t="shared" si="2"/>
        <v/>
      </c>
      <c r="AV19" s="59" t="str">
        <f t="shared" si="2"/>
        <v/>
      </c>
      <c r="AW19" s="59" t="str">
        <f t="shared" si="2"/>
        <v/>
      </c>
      <c r="AX19" s="59" t="str">
        <f t="shared" si="2"/>
        <v/>
      </c>
      <c r="AY19" s="59" t="str">
        <f t="shared" si="2"/>
        <v/>
      </c>
      <c r="AZ19" s="59" t="str">
        <f t="shared" si="2"/>
        <v/>
      </c>
      <c r="BA19" s="59" t="str">
        <f t="shared" si="2"/>
        <v/>
      </c>
      <c r="BB19" s="59" t="str">
        <f t="shared" si="2"/>
        <v/>
      </c>
    </row>
    <row r="20" spans="1:154" ht="39.75" customHeight="1" x14ac:dyDescent="0.25">
      <c r="A20" s="7">
        <f ca="1">IF(OFFSET($B20,IF(AND($K20=0,NOT(ISBLANK($K20))),-4,-3),-1)=0,1,0)</f>
        <v>0</v>
      </c>
      <c r="B20" s="78">
        <v>1</v>
      </c>
      <c r="C20" s="11">
        <v>1</v>
      </c>
      <c r="D20" s="12">
        <f>(($E20-1)*$C20)+1</f>
        <v>1</v>
      </c>
      <c r="E20" s="12">
        <v>1</v>
      </c>
      <c r="F20" s="13">
        <v>2034</v>
      </c>
      <c r="G20" s="12">
        <v>20</v>
      </c>
      <c r="H20" s="9">
        <v>0.01</v>
      </c>
      <c r="I20" s="9"/>
      <c r="J20" s="65">
        <v>4.8</v>
      </c>
      <c r="K20" s="75">
        <v>1</v>
      </c>
      <c r="L20" s="75">
        <f>IF(M20="Allowance",1,ROUND(K20*B20/E20/H20,0)*H20)</f>
        <v>1</v>
      </c>
      <c r="M20" s="3" t="s">
        <v>214</v>
      </c>
      <c r="N20" s="3" t="s">
        <v>222</v>
      </c>
      <c r="O20" s="57">
        <f>IF($F20&gt;$BB$9,$F20,Current_Fiscal_Year+MATCH(TRUE,INDEX($X20:$BB20&lt;&gt;"",0),0)-1)</f>
        <v>2034</v>
      </c>
      <c r="P20" s="57" t="s">
        <v>223</v>
      </c>
      <c r="Q20" s="57" t="str">
        <f>$O20-Current_Fiscal_Year&amp;IF($B20&lt;1," to "&amp;Study_Length&amp;"+",IF( $E20&gt;1," to "&amp;IF($O20-Current_Fiscal_Year+$D20-1&gt;Study_Length,Study_Length&amp;"+",$O20-Current_Fiscal_Year+$D20-1),""))</f>
        <v>8</v>
      </c>
      <c r="R20" s="69">
        <v>7200</v>
      </c>
      <c r="S20" s="72">
        <v>1</v>
      </c>
      <c r="T20" s="75">
        <f>$L20*$R20*$S20</f>
        <v>7200</v>
      </c>
      <c r="U20" s="75">
        <f>$K20*$R20*$S20</f>
        <v>7200</v>
      </c>
      <c r="V20" s="75">
        <f ca="1">SUM(OFFSET($X20,,,1,Study_Length+1))</f>
        <v>26656</v>
      </c>
      <c r="W20" s="58">
        <f ca="1">$V20/Total_Study_Expenditures</f>
        <v>3.322445684475725E-2</v>
      </c>
      <c r="X20" s="59" t="str">
        <f t="shared" si="2"/>
        <v/>
      </c>
      <c r="Y20" s="59" t="str">
        <f t="shared" si="2"/>
        <v/>
      </c>
      <c r="Z20" s="59" t="str">
        <f t="shared" si="2"/>
        <v/>
      </c>
      <c r="AA20" s="59" t="str">
        <f t="shared" si="2"/>
        <v/>
      </c>
      <c r="AB20" s="59" t="str">
        <f t="shared" si="2"/>
        <v/>
      </c>
      <c r="AC20" s="59" t="str">
        <f t="shared" si="2"/>
        <v/>
      </c>
      <c r="AD20" s="59" t="str">
        <f t="shared" si="2"/>
        <v/>
      </c>
      <c r="AE20" s="59" t="str">
        <f t="shared" si="2"/>
        <v/>
      </c>
      <c r="AF20" s="59">
        <f t="shared" si="2"/>
        <v>9263.4</v>
      </c>
      <c r="AG20" s="59" t="str">
        <f t="shared" si="2"/>
        <v/>
      </c>
      <c r="AH20" s="59" t="str">
        <f t="shared" si="2"/>
        <v/>
      </c>
      <c r="AI20" s="59" t="str">
        <f t="shared" ref="AI20:BB20" si="3">IFERROR(IF(OR(AI$8 = ($F20 - Current_Fiscal_Year),AND(MOD($F20-AI$9,$G20)=0,AI$9&gt;$F20)),IF(secondaryInflationYear- Current_Fiscal_Year &gt;=AI$8,ROUND($L20* $R20*$S20*((1 + AI$7)^AI$8),1),ROUND($L20* $R20*$S20*(((1+secondaryInflation)^(secondaryInflationYear-Current_Fiscal_Year)) * ((1+AI$7)^(AI$8-(secondaryInflationYear - Current_Fiscal_Year)))),1)),IF(AND($D20&lt;&gt;1,AI$8 &gt; ($F20 - Current_Fiscal_Year),(AI$8 - (($F20 - Current_Fiscal_Year)+$G20*INT(((AI$8 - ($F20 - Current_Fiscal_Year)) / $G20))))/((($D20 - $E20)/($E20-1))+1) = INT((AI$8 - (($F20 - Current_Fiscal_Year)+$G20*INT(((AI$8 - ($F20 - Current_Fiscal_Year)) / $G20))))/((($D20 - $E20)/($E20-1))+1)), (AI$8 - (($F20 - Current_Fiscal_Year)+$G20*INT(((AI$8 - ($F20 - Current_Fiscal_Year)) / $G20)))) &lt;$D20),IF(secondaryInflationYear- Current_Fiscal_Year &gt;=AI$8,ROUND($L20* $R20*$S20*((1 + AI$7)^AI$8),1),ROUND($L20* $R20*$S20*(((1+secondaryInflation)^(secondaryInflationYear-Current_Fiscal_Year)) * ((1+AI$7)^(AI$8-(secondaryInflationYear - Current_Fiscal_Year)))),1)),"")),"")</f>
        <v/>
      </c>
      <c r="AJ20" s="59" t="str">
        <f t="shared" si="3"/>
        <v/>
      </c>
      <c r="AK20" s="59" t="str">
        <f t="shared" si="3"/>
        <v/>
      </c>
      <c r="AL20" s="59" t="str">
        <f t="shared" si="3"/>
        <v/>
      </c>
      <c r="AM20" s="59" t="str">
        <f t="shared" si="3"/>
        <v/>
      </c>
      <c r="AN20" s="59" t="str">
        <f t="shared" si="3"/>
        <v/>
      </c>
      <c r="AO20" s="59" t="str">
        <f t="shared" si="3"/>
        <v/>
      </c>
      <c r="AP20" s="59" t="str">
        <f t="shared" si="3"/>
        <v/>
      </c>
      <c r="AQ20" s="59" t="str">
        <f t="shared" si="3"/>
        <v/>
      </c>
      <c r="AR20" s="59" t="str">
        <f t="shared" si="3"/>
        <v/>
      </c>
      <c r="AS20" s="59" t="str">
        <f t="shared" si="3"/>
        <v/>
      </c>
      <c r="AT20" s="59" t="str">
        <f t="shared" si="3"/>
        <v/>
      </c>
      <c r="AU20" s="59" t="str">
        <f t="shared" si="3"/>
        <v/>
      </c>
      <c r="AV20" s="59" t="str">
        <f t="shared" si="3"/>
        <v/>
      </c>
      <c r="AW20" s="59" t="str">
        <f t="shared" si="3"/>
        <v/>
      </c>
      <c r="AX20" s="59" t="str">
        <f t="shared" si="3"/>
        <v/>
      </c>
      <c r="AY20" s="59" t="str">
        <f t="shared" si="3"/>
        <v/>
      </c>
      <c r="AZ20" s="59">
        <f t="shared" si="3"/>
        <v>17392.599999999999</v>
      </c>
      <c r="BA20" s="59" t="str">
        <f t="shared" si="3"/>
        <v/>
      </c>
      <c r="BB20" s="59" t="str">
        <f t="shared" si="3"/>
        <v/>
      </c>
    </row>
    <row r="21" spans="1:154" s="2" customFormat="1" ht="8.1" customHeight="1" x14ac:dyDescent="0.25">
      <c r="A21" s="15"/>
      <c r="B21" s="15" t="s">
        <v>99</v>
      </c>
      <c r="C21" s="15" t="s">
        <v>99</v>
      </c>
      <c r="D21" s="15" t="s">
        <v>99</v>
      </c>
      <c r="E21" s="15" t="s">
        <v>99</v>
      </c>
      <c r="F21" s="15" t="s">
        <v>99</v>
      </c>
      <c r="G21" s="15" t="s">
        <v>99</v>
      </c>
      <c r="H21" s="15"/>
      <c r="I21" s="15"/>
      <c r="J21" s="15" t="s">
        <v>99</v>
      </c>
      <c r="K21" s="16" t="s">
        <v>99</v>
      </c>
      <c r="L21" s="16" t="s">
        <v>99</v>
      </c>
      <c r="M21" s="15" t="s">
        <v>99</v>
      </c>
      <c r="N21" s="15" t="s">
        <v>99</v>
      </c>
      <c r="O21" s="16" t="s">
        <v>99</v>
      </c>
      <c r="P21" s="14"/>
      <c r="Q21" s="16" t="s">
        <v>99</v>
      </c>
      <c r="R21" s="67" t="s">
        <v>99</v>
      </c>
      <c r="S21" s="17" t="s">
        <v>99</v>
      </c>
      <c r="T21" s="16" t="s">
        <v>99</v>
      </c>
      <c r="U21" s="16"/>
      <c r="V21" s="16" t="s">
        <v>99</v>
      </c>
      <c r="W21" s="16" t="s">
        <v>99</v>
      </c>
      <c r="X21" s="16" t="s">
        <v>99</v>
      </c>
      <c r="Y21" s="16" t="s">
        <v>99</v>
      </c>
      <c r="Z21" s="16" t="s">
        <v>99</v>
      </c>
      <c r="AA21" s="16" t="s">
        <v>99</v>
      </c>
      <c r="AB21" s="16" t="s">
        <v>99</v>
      </c>
      <c r="AC21" s="16" t="s">
        <v>99</v>
      </c>
      <c r="AD21" s="16" t="s">
        <v>99</v>
      </c>
      <c r="AE21" s="16" t="s">
        <v>99</v>
      </c>
      <c r="AF21" s="16" t="s">
        <v>99</v>
      </c>
      <c r="AG21" s="16" t="s">
        <v>99</v>
      </c>
      <c r="AH21" s="16" t="s">
        <v>99</v>
      </c>
      <c r="AI21" s="16" t="s">
        <v>99</v>
      </c>
      <c r="AJ21" s="16" t="s">
        <v>99</v>
      </c>
      <c r="AK21" s="16" t="s">
        <v>99</v>
      </c>
      <c r="AL21" s="16" t="s">
        <v>99</v>
      </c>
      <c r="AM21" s="16" t="s">
        <v>99</v>
      </c>
      <c r="AN21" s="16" t="s">
        <v>99</v>
      </c>
      <c r="AO21" s="16" t="s">
        <v>99</v>
      </c>
      <c r="AP21" s="16" t="s">
        <v>99</v>
      </c>
      <c r="AQ21" s="16" t="s">
        <v>99</v>
      </c>
      <c r="AR21" s="16" t="s">
        <v>99</v>
      </c>
      <c r="AS21" s="16" t="s">
        <v>99</v>
      </c>
      <c r="AT21" s="16" t="s">
        <v>99</v>
      </c>
      <c r="AU21" s="16" t="s">
        <v>99</v>
      </c>
      <c r="AV21" s="16" t="s">
        <v>99</v>
      </c>
      <c r="AW21" s="16" t="s">
        <v>99</v>
      </c>
      <c r="AX21" s="16" t="s">
        <v>99</v>
      </c>
      <c r="AY21" s="16" t="s">
        <v>99</v>
      </c>
      <c r="AZ21" s="16" t="s">
        <v>99</v>
      </c>
      <c r="BA21" s="16" t="s">
        <v>99</v>
      </c>
      <c r="BB21" s="14"/>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row>
    <row r="22" spans="1:154" s="3" customFormat="1" ht="39.950000000000003" customHeight="1" x14ac:dyDescent="0.25">
      <c r="A22" s="10"/>
      <c r="B22" s="71"/>
      <c r="C22" s="10"/>
      <c r="D22" s="10"/>
      <c r="E22" s="10"/>
      <c r="F22" s="10"/>
      <c r="G22" s="10"/>
      <c r="H22" s="10"/>
      <c r="I22" s="10"/>
      <c r="J22" s="64"/>
      <c r="K22" s="74"/>
      <c r="L22" s="74"/>
      <c r="M22" s="10"/>
      <c r="N22" s="18" t="str">
        <f ca="1">"Anticipated Expenditures, By Year ("&amp;Currency_Symbol&amp;TEXT($V$22,"#,##0")&amp;" over "&amp;Study_Length&amp;" years)"</f>
        <v>Anticipated Expenditures, By Year ($802,301 over 30 years)</v>
      </c>
      <c r="O22" s="10"/>
      <c r="P22" s="10"/>
      <c r="Q22" s="10"/>
      <c r="R22" s="68"/>
      <c r="S22" s="71"/>
      <c r="T22" s="74"/>
      <c r="U22" s="74"/>
      <c r="V22" s="74">
        <f ca="1">SUM(OFFSET(X22,,,1,Study_Length+1))</f>
        <v>802300.54999999981</v>
      </c>
      <c r="W22" s="10"/>
      <c r="X22" s="8">
        <f>SUM(X10:X21)</f>
        <v>0</v>
      </c>
      <c r="Y22" s="8">
        <f>SUM(Y10:Y21)</f>
        <v>0</v>
      </c>
      <c r="Z22" s="8">
        <f>SUM(Z10:Z21)</f>
        <v>20874.5</v>
      </c>
      <c r="AA22" s="8">
        <f>SUM(AA10:AA21)</f>
        <v>26983.050000000003</v>
      </c>
      <c r="AB22" s="8">
        <f>SUM(AB10:AB21)</f>
        <v>0</v>
      </c>
      <c r="AC22" s="8">
        <f>SUM(AC10:AC21)</f>
        <v>14749.2</v>
      </c>
      <c r="AD22" s="8">
        <f>SUM(AD10:AD21)</f>
        <v>0</v>
      </c>
      <c r="AE22" s="8">
        <f>SUM(AE10:AE21)</f>
        <v>0</v>
      </c>
      <c r="AF22" s="8">
        <f>SUM(AF10:AF21)</f>
        <v>9263.4</v>
      </c>
      <c r="AG22" s="8">
        <f>SUM(AG10:AG21)</f>
        <v>0</v>
      </c>
      <c r="AH22" s="8">
        <f>SUM(AH10:AH21)</f>
        <v>70635.899999999994</v>
      </c>
      <c r="AI22" s="8">
        <f>SUM(AI10:AI21)</f>
        <v>0</v>
      </c>
      <c r="AJ22" s="8">
        <f>SUM(AJ10:AJ21)</f>
        <v>74134.5</v>
      </c>
      <c r="AK22" s="8">
        <f>SUM(AK10:AK21)</f>
        <v>29518.400000000001</v>
      </c>
      <c r="AL22" s="8">
        <f>SUM(AL10:AL21)</f>
        <v>0</v>
      </c>
      <c r="AM22" s="8">
        <f>SUM(AM10:AM21)</f>
        <v>196325.5</v>
      </c>
      <c r="AN22" s="8">
        <f>SUM(AN10:AN21)</f>
        <v>0</v>
      </c>
      <c r="AO22" s="8">
        <f>SUM(AO10:AO21)</f>
        <v>8455.9</v>
      </c>
      <c r="AP22" s="8">
        <f>SUM(AP10:AP21)</f>
        <v>0</v>
      </c>
      <c r="AQ22" s="8">
        <f>SUM(AQ10:AQ21)</f>
        <v>0</v>
      </c>
      <c r="AR22" s="8">
        <f>SUM(AR10:AR21)</f>
        <v>23657.3</v>
      </c>
      <c r="AS22" s="8">
        <f>SUM(AS10:AS21)</f>
        <v>0</v>
      </c>
      <c r="AT22" s="8">
        <f>SUM(AT10:AT21)</f>
        <v>39193.1</v>
      </c>
      <c r="AU22" s="8">
        <f>SUM(AU10:AU21)</f>
        <v>40447.300000000003</v>
      </c>
      <c r="AV22" s="8">
        <f>SUM(AV10:AV21)</f>
        <v>95835.199999999997</v>
      </c>
      <c r="AW22" s="8">
        <f>SUM(AW10:AW21)</f>
        <v>102418.5</v>
      </c>
      <c r="AX22" s="8">
        <f>SUM(AX10:AX21)</f>
        <v>0</v>
      </c>
      <c r="AY22" s="8">
        <f>SUM(AY10:AY21)</f>
        <v>0</v>
      </c>
      <c r="AZ22" s="8">
        <f>SUM(AZ10:AZ21)</f>
        <v>17392.599999999999</v>
      </c>
      <c r="BA22" s="8">
        <f>SUM(BA10:BA21)</f>
        <v>0</v>
      </c>
      <c r="BB22" s="8">
        <f>SUM(BB10:BB21)</f>
        <v>32416.2</v>
      </c>
    </row>
    <row r="2006" spans="1:54" ht="18" x14ac:dyDescent="0.25">
      <c r="A2006" s="7"/>
    </row>
    <row r="2008" spans="1:54" ht="18" x14ac:dyDescent="0.25">
      <c r="A2008" s="7">
        <f ca="1">IF(OFFSET($B2008,IF(AND($K2008=0,NOT(ISBLANK($K2008))),-4,-3),-1)=0,1,0)</f>
        <v>1</v>
      </c>
      <c r="B2008" s="78"/>
      <c r="C2008" s="11"/>
      <c r="D2008" s="7"/>
      <c r="E2008" s="12"/>
      <c r="F2008" s="13"/>
      <c r="G2008" s="12"/>
      <c r="H2008" s="9"/>
      <c r="I2008" s="9"/>
      <c r="J2008" s="65"/>
      <c r="K2008" s="75"/>
      <c r="L2008" s="75"/>
      <c r="M2008" s="3"/>
      <c r="N2008" s="3"/>
      <c r="O2008" s="57"/>
      <c r="P2008" s="57"/>
      <c r="Q2008" s="57"/>
      <c r="R2008" s="69"/>
      <c r="S2008" s="72"/>
      <c r="T2008" s="75"/>
      <c r="U2008" s="75"/>
      <c r="V2008" s="75"/>
      <c r="W2008" s="58"/>
      <c r="X2008" s="59"/>
      <c r="Y2008" s="59"/>
      <c r="Z2008" s="59"/>
      <c r="AA2008" s="59"/>
      <c r="AB2008" s="59"/>
      <c r="AC2008" s="59"/>
      <c r="AD2008" s="59"/>
      <c r="AE2008" s="59"/>
      <c r="AF2008" s="59"/>
      <c r="AG2008" s="59"/>
      <c r="AH2008" s="59"/>
      <c r="AI2008" s="59"/>
      <c r="AJ2008" s="59"/>
      <c r="AK2008" s="59"/>
      <c r="AL2008" s="59"/>
      <c r="AM2008" s="59"/>
      <c r="AN2008" s="59"/>
      <c r="AO2008" s="59"/>
      <c r="AP2008" s="59"/>
      <c r="AQ2008" s="59"/>
      <c r="AR2008" s="59"/>
      <c r="AS2008" s="59"/>
      <c r="AT2008" s="59"/>
      <c r="AU2008" s="59"/>
      <c r="AV2008" s="59"/>
      <c r="AW2008" s="59"/>
      <c r="AX2008" s="59"/>
      <c r="AY2008" s="59"/>
      <c r="AZ2008" s="59"/>
      <c r="BA2008" s="59"/>
      <c r="BB2008" s="59"/>
    </row>
    <row r="2009" spans="1:54" ht="39.950000000000003" customHeight="1" x14ac:dyDescent="0.25">
      <c r="A2009" s="7">
        <f ca="1">IF(OFFSET($B2009,IF(AND($K2009=0,NOT(ISBLANK($K2009))),-4,-3),-1)=0,1,0)</f>
        <v>1</v>
      </c>
      <c r="B2009" s="78"/>
      <c r="C2009" s="11"/>
      <c r="D2009" s="7">
        <f>(($E2009-1)*$C2009)+1</f>
        <v>1</v>
      </c>
      <c r="E2009" s="12"/>
      <c r="F2009" s="13"/>
      <c r="G2009" s="12"/>
      <c r="H2009" s="9"/>
      <c r="I2009" s="9"/>
      <c r="J2009" s="65"/>
      <c r="K2009" s="75"/>
      <c r="L2009" s="75" t="e">
        <f>IF(M2009="Allowance",1,ROUND(K2009*B2009/E2009/H2009,0)*H2009)</f>
        <v>#DIV/0!</v>
      </c>
      <c r="M2009" s="3"/>
      <c r="N2009" s="3"/>
      <c r="O2009" s="57" t="e">
        <f>IF($F2009&gt;$BB$9,$F2009,Current_Fiscal_Year+MATCH(TRUE,INDEX($X2009:$BB2009&lt;&gt;"",0),0)-1)</f>
        <v>#N/A</v>
      </c>
      <c r="P2009" s="57"/>
      <c r="Q2009" s="57" t="e">
        <f>$O2009-Current_Fiscal_Year&amp;IF($B2009&lt;1," to "&amp;Study_Length&amp;"+",IF( $E2009&gt;1," to "&amp;IF($O2009-Current_Fiscal_Year+$D2009-1&gt;Study_Length,Study_Length&amp;"+",$O2009-Current_Fiscal_Year+$D2009-1),""))</f>
        <v>#N/A</v>
      </c>
      <c r="R2009" s="69"/>
      <c r="S2009" s="72"/>
      <c r="T2009" s="75" t="e">
        <f>$L2009*$R2009*$S2009</f>
        <v>#DIV/0!</v>
      </c>
      <c r="U2009" s="75">
        <f>$K2009*$R2009*$S2009</f>
        <v>0</v>
      </c>
      <c r="V2009" s="75">
        <f ca="1">SUM(OFFSET($X2009,,,1,Study_Length+1))</f>
        <v>0</v>
      </c>
      <c r="W2009" s="58">
        <f ca="1">$V2009/Total_Study_Expenditures</f>
        <v>0</v>
      </c>
      <c r="X2009" s="59" t="str">
        <f t="shared" ref="X2009:BB2009" si="4">IFERROR(IF(OR(X$8 = ($F2009 - Current_Fiscal_Year),AND(MOD($F2009-X$9,$G2009)=0,X$9&gt;$F2009)),IF(secondaryInflationYear- Current_Fiscal_Year &gt;=X$8,ROUND($L2009* $R2009*$S2009*((1 + X$7)^X$8),1),ROUND($L2009* $R2009*$S2009*(((1+secondaryInflation)^(secondaryInflationYear-Current_Fiscal_Year)) * ((1+X$7)^(X$8-(secondaryInflationYear - Current_Fiscal_Year)))),1)),IF(AND($D2009&lt;&gt;1,X$8 &gt; ($F2009 - Current_Fiscal_Year),(X$8 - (($F2009 - Current_Fiscal_Year)+$G2009*INT(((X$8 - ($F2009 - Current_Fiscal_Year)) / $G2009))))/((($D2009 - $E2009)/($E2009-1))+1) = INT((X$8 - (($F2009 - Current_Fiscal_Year)+$G2009*INT(((X$8 - ($F2009 - Current_Fiscal_Year)) / $G2009))))/((($D2009 - $E2009)/($E2009-1))+1)), (X$8 - (($F2009 - Current_Fiscal_Year)+$G2009*INT(((X$8 - ($F2009 - Current_Fiscal_Year)) / $G2009)))) &lt;$D2009),IF(secondaryInflationYear- Current_Fiscal_Year &gt;=X$8,ROUND($L2009* $R2009*$S2009*((1 + X$7)^X$8),1),ROUND($L2009* $R2009*$S2009*(((1+secondaryInflation)^(secondaryInflationYear-Current_Fiscal_Year)) * ((1+X$7)^(X$8-(secondaryInflationYear - Current_Fiscal_Year)))),1)),"")),"")</f>
        <v/>
      </c>
      <c r="Y2009" s="59" t="str">
        <f t="shared" si="4"/>
        <v/>
      </c>
      <c r="Z2009" s="59" t="str">
        <f t="shared" si="4"/>
        <v/>
      </c>
      <c r="AA2009" s="59" t="str">
        <f t="shared" si="4"/>
        <v/>
      </c>
      <c r="AB2009" s="59" t="str">
        <f t="shared" si="4"/>
        <v/>
      </c>
      <c r="AC2009" s="59" t="str">
        <f t="shared" si="4"/>
        <v/>
      </c>
      <c r="AD2009" s="59" t="str">
        <f t="shared" si="4"/>
        <v/>
      </c>
      <c r="AE2009" s="59" t="str">
        <f t="shared" si="4"/>
        <v/>
      </c>
      <c r="AF2009" s="59" t="str">
        <f t="shared" si="4"/>
        <v/>
      </c>
      <c r="AG2009" s="59" t="str">
        <f t="shared" si="4"/>
        <v/>
      </c>
      <c r="AH2009" s="59" t="str">
        <f t="shared" si="4"/>
        <v/>
      </c>
      <c r="AI2009" s="59" t="str">
        <f t="shared" si="4"/>
        <v/>
      </c>
      <c r="AJ2009" s="59" t="str">
        <f t="shared" si="4"/>
        <v/>
      </c>
      <c r="AK2009" s="59" t="str">
        <f t="shared" si="4"/>
        <v/>
      </c>
      <c r="AL2009" s="59" t="str">
        <f t="shared" si="4"/>
        <v/>
      </c>
      <c r="AM2009" s="59" t="str">
        <f t="shared" si="4"/>
        <v/>
      </c>
      <c r="AN2009" s="59" t="str">
        <f t="shared" si="4"/>
        <v/>
      </c>
      <c r="AO2009" s="59" t="str">
        <f t="shared" si="4"/>
        <v/>
      </c>
      <c r="AP2009" s="59" t="str">
        <f t="shared" si="4"/>
        <v/>
      </c>
      <c r="AQ2009" s="59" t="str">
        <f t="shared" si="4"/>
        <v/>
      </c>
      <c r="AR2009" s="59" t="str">
        <f t="shared" si="4"/>
        <v/>
      </c>
      <c r="AS2009" s="59" t="str">
        <f t="shared" si="4"/>
        <v/>
      </c>
      <c r="AT2009" s="59" t="str">
        <f t="shared" si="4"/>
        <v/>
      </c>
      <c r="AU2009" s="59" t="str">
        <f t="shared" si="4"/>
        <v/>
      </c>
      <c r="AV2009" s="59" t="str">
        <f t="shared" si="4"/>
        <v/>
      </c>
      <c r="AW2009" s="59" t="str">
        <f t="shared" si="4"/>
        <v/>
      </c>
      <c r="AX2009" s="59" t="str">
        <f t="shared" si="4"/>
        <v/>
      </c>
      <c r="AY2009" s="59" t="str">
        <f t="shared" si="4"/>
        <v/>
      </c>
      <c r="AZ2009" s="59" t="str">
        <f t="shared" si="4"/>
        <v/>
      </c>
      <c r="BA2009" s="59" t="str">
        <f t="shared" si="4"/>
        <v/>
      </c>
      <c r="BB2009" s="59" t="str">
        <f t="shared" si="4"/>
        <v/>
      </c>
    </row>
  </sheetData>
  <mergeCells count="5">
    <mergeCell ref="Z2:AM2"/>
    <mergeCell ref="Z4:AE4"/>
    <mergeCell ref="P7:Q7"/>
    <mergeCell ref="R7:U7"/>
    <mergeCell ref="P8:Q8"/>
  </mergeCells>
  <conditionalFormatting sqref="J2008:BB2009 J11:BB20">
    <cfRule type="expression" dxfId="3" priority="32">
      <formula>$O11&gt;$BB$9</formula>
    </cfRule>
    <cfRule type="expression" dxfId="2" priority="34">
      <formula>$A11=0</formula>
    </cfRule>
    <cfRule type="expression" dxfId="1" priority="35">
      <formula>$A11=1</formula>
    </cfRule>
  </conditionalFormatting>
  <conditionalFormatting sqref="Y4:Z4 AF4:AG4">
    <cfRule type="expression" dxfId="0" priority="33">
      <formula>IF(Y4="",FALSE,TRUE)</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CB8A-3371-4082-9F3B-DD116901F351}">
  <sheetPr>
    <tabColor rgb="FF538DD5"/>
  </sheetPr>
  <dimension ref="A1:AI1005"/>
  <sheetViews>
    <sheetView tabSelected="1" zoomScale="70" zoomScaleNormal="70" workbookViewId="0">
      <selection activeCell="D21" sqref="D21"/>
    </sheetView>
  </sheetViews>
  <sheetFormatPr defaultRowHeight="15" x14ac:dyDescent="0.25"/>
  <cols>
    <col min="1" max="1" width="6.7109375" customWidth="1"/>
    <col min="2" max="2" width="6.5703125" customWidth="1"/>
    <col min="3" max="3" width="42.85546875" customWidth="1"/>
    <col min="4" max="4" width="12.7109375" customWidth="1"/>
    <col min="5" max="20" width="16.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c r="D2" s="189"/>
      <c r="E2" s="190" t="s">
        <v>101</v>
      </c>
      <c r="F2" s="188"/>
      <c r="G2" s="188"/>
      <c r="H2" s="188"/>
      <c r="I2" s="188"/>
      <c r="J2" s="191"/>
      <c r="K2" s="100"/>
      <c r="L2" s="100"/>
      <c r="M2" s="100"/>
      <c r="N2" s="100"/>
      <c r="O2" s="100"/>
      <c r="P2" s="100"/>
      <c r="Q2" s="100"/>
      <c r="R2" s="100"/>
      <c r="S2" s="100"/>
      <c r="T2" s="100"/>
    </row>
    <row r="3" spans="1:26" ht="19.5" x14ac:dyDescent="0.25">
      <c r="A3" s="192"/>
      <c r="B3" s="192"/>
      <c r="C3" s="193" t="s">
        <v>102</v>
      </c>
      <c r="D3" s="194"/>
      <c r="E3" s="195" t="s">
        <v>101</v>
      </c>
      <c r="F3" s="100"/>
      <c r="G3" s="100"/>
      <c r="H3" s="100"/>
      <c r="I3" s="100"/>
      <c r="J3" s="100"/>
      <c r="K3" s="100"/>
      <c r="L3" s="100"/>
      <c r="M3" s="100"/>
      <c r="N3" s="100"/>
      <c r="O3" s="100"/>
      <c r="P3" s="100"/>
      <c r="Q3" s="100"/>
      <c r="R3" s="100"/>
      <c r="S3" s="100"/>
      <c r="T3" s="100"/>
    </row>
    <row r="4" spans="1:26" ht="19.5" x14ac:dyDescent="0.25">
      <c r="A4" s="196"/>
      <c r="B4" s="196"/>
      <c r="C4" s="197" t="s">
        <v>194</v>
      </c>
      <c r="D4" s="198"/>
      <c r="E4" s="192"/>
      <c r="F4" s="110"/>
      <c r="G4" s="199"/>
      <c r="H4" s="199"/>
      <c r="I4" s="199"/>
      <c r="J4" s="199"/>
      <c r="K4" s="100"/>
      <c r="L4" s="100"/>
      <c r="M4" s="100"/>
      <c r="N4" s="100"/>
      <c r="O4" s="100"/>
      <c r="P4" s="100"/>
      <c r="Q4" s="100"/>
      <c r="R4" s="100"/>
      <c r="S4" s="100"/>
      <c r="T4" s="100"/>
    </row>
    <row r="5" spans="1:26" ht="19.5" x14ac:dyDescent="0.25">
      <c r="A5" s="196" t="s">
        <v>82</v>
      </c>
      <c r="B5" s="196"/>
      <c r="C5" s="197" t="s">
        <v>195</v>
      </c>
      <c r="D5" s="192"/>
      <c r="E5" s="192"/>
      <c r="F5" s="200" t="s">
        <v>103</v>
      </c>
      <c r="G5" s="192"/>
      <c r="H5" s="192"/>
      <c r="I5" s="192"/>
      <c r="J5" s="192"/>
      <c r="K5" s="100"/>
      <c r="L5" s="100"/>
      <c r="M5" s="100"/>
      <c r="N5" s="100"/>
      <c r="O5" s="100"/>
      <c r="P5" s="100"/>
      <c r="Q5" s="100"/>
      <c r="R5" s="100"/>
      <c r="S5" s="100"/>
      <c r="T5" s="100"/>
    </row>
    <row r="6" spans="1:26" ht="20.25" thickBot="1" x14ac:dyDescent="0.3">
      <c r="A6" s="196"/>
      <c r="B6" s="196"/>
      <c r="C6" s="160" t="s">
        <v>196</v>
      </c>
      <c r="D6" s="198"/>
      <c r="E6" s="201">
        <f>Current_Fiscal_Year</f>
        <v>2026</v>
      </c>
      <c r="F6" s="202">
        <f>Current_Fiscal_Year+1</f>
        <v>2027</v>
      </c>
      <c r="G6" s="202">
        <f>F6+1</f>
        <v>2028</v>
      </c>
      <c r="H6" s="202">
        <f t="shared" ref="H6:T6" si="0">G6+1</f>
        <v>2029</v>
      </c>
      <c r="I6" s="202">
        <f t="shared" si="0"/>
        <v>2030</v>
      </c>
      <c r="J6" s="202">
        <f t="shared" si="0"/>
        <v>2031</v>
      </c>
      <c r="K6" s="202">
        <f t="shared" si="0"/>
        <v>2032</v>
      </c>
      <c r="L6" s="202">
        <f t="shared" si="0"/>
        <v>2033</v>
      </c>
      <c r="M6" s="202">
        <f t="shared" si="0"/>
        <v>2034</v>
      </c>
      <c r="N6" s="202">
        <f t="shared" si="0"/>
        <v>2035</v>
      </c>
      <c r="O6" s="202">
        <f t="shared" si="0"/>
        <v>2036</v>
      </c>
      <c r="P6" s="202">
        <f t="shared" si="0"/>
        <v>2037</v>
      </c>
      <c r="Q6" s="202">
        <f t="shared" si="0"/>
        <v>2038</v>
      </c>
      <c r="R6" s="202">
        <f t="shared" si="0"/>
        <v>2039</v>
      </c>
      <c r="S6" s="202">
        <f t="shared" si="0"/>
        <v>2040</v>
      </c>
      <c r="T6" s="202">
        <f t="shared" si="0"/>
        <v>2041</v>
      </c>
      <c r="Z6" s="39"/>
    </row>
    <row r="7" spans="1:26" ht="18" x14ac:dyDescent="0.25">
      <c r="A7" s="196"/>
      <c r="B7" s="203" t="s">
        <v>104</v>
      </c>
      <c r="C7" s="204"/>
      <c r="D7" s="205" t="s">
        <v>105</v>
      </c>
      <c r="E7" s="206">
        <f>IF(Y56="Yes","N/A",Y54)</f>
        <v>52679</v>
      </c>
      <c r="F7" s="207">
        <f t="shared" ref="F7:T7" ca="1" si="1">E16</f>
        <v>64313</v>
      </c>
      <c r="G7" s="207">
        <f t="shared" ca="1" si="1"/>
        <v>84789</v>
      </c>
      <c r="H7" s="207">
        <f t="shared" ca="1" si="1"/>
        <v>85197.5</v>
      </c>
      <c r="I7" s="207">
        <f t="shared" ca="1" si="1"/>
        <v>80050.45</v>
      </c>
      <c r="J7" s="207">
        <f t="shared" ca="1" si="1"/>
        <v>102659.45</v>
      </c>
      <c r="K7" s="207">
        <f t="shared" ca="1" si="1"/>
        <v>111531.25</v>
      </c>
      <c r="L7" s="207">
        <f t="shared" ca="1" si="1"/>
        <v>136184.25</v>
      </c>
      <c r="M7" s="207">
        <f t="shared" ca="1" si="1"/>
        <v>162037.25</v>
      </c>
      <c r="N7" s="207">
        <f t="shared" ca="1" si="1"/>
        <v>179757.85</v>
      </c>
      <c r="O7" s="207">
        <f t="shared" ca="1" si="1"/>
        <v>207996.85</v>
      </c>
      <c r="P7" s="207">
        <f t="shared" ca="1" si="1"/>
        <v>166266.95000000001</v>
      </c>
      <c r="Q7" s="207">
        <f t="shared" ca="1" si="1"/>
        <v>195851.95</v>
      </c>
      <c r="R7" s="207">
        <f t="shared" ca="1" si="1"/>
        <v>151961.45000000001</v>
      </c>
      <c r="S7" s="207">
        <f t="shared" ca="1" si="1"/>
        <v>153164.05000000002</v>
      </c>
      <c r="T7" s="207">
        <f t="shared" ca="1" si="1"/>
        <v>185113.05000000002</v>
      </c>
    </row>
    <row r="8" spans="1:26" ht="18" x14ac:dyDescent="0.25">
      <c r="A8" s="196"/>
      <c r="B8" s="19"/>
      <c r="C8" s="20" t="s">
        <v>106</v>
      </c>
      <c r="D8" s="21"/>
      <c r="E8" s="22">
        <f>Y60/Frequency_of_Contributions_Number*Funding_Current_Contributions</f>
        <v>10571</v>
      </c>
      <c r="F8" s="22">
        <f ca="1">IF($Y$53-1=F6,$Y$58,ROUND(IF(AND(NOT(ISBLANK($R$22)),NOT(ISBLANK($R$21)),F6=$R$22),$R$21,IF(AND(NOT(ISBLANK($T$22)),NOT(ISBLANK($T$21)),F6=$T$22),$T$21,IF(AND(NOT(ISBLANK($J$21)),$Y$53=F6),$J$21,IF(AND(NOT(ISBLANK($L$22)),NOT(ISBLANK($L$21)),F6&lt;$Y$53+$L$22),$L$21+INDIRECT("contributions_year"&amp;F6-1-$Y$52)+IF(F6-1-$Y$52=0,(1-($Y$60/$Y$61))*$Y$57,0),IF(AND(NOT(ISBLANK($N$21)),NOT(ISBLANK($N$22)),NOT(ISBLANK($N$23)),$N$22&lt;=F6,F6&lt;=$N$23),$N$21,IF(AND(NOT(ISBLANK($P$21)),NOT(ISBLANK($P$22)),NOT(ISBLANK($P$23)),$P$22&lt;=F6,F6&lt;=$P$23),$P$21,(INDIRECT("contributions_year"&amp;F6-1-$Y$52)+IF(F6-1-$Y$52=0,(1-($Y$60/$Y$61))*$Y$57,0))*(1+$Y$59)))))))/$Y$62,0)*$Y$62)</f>
        <v>19000</v>
      </c>
      <c r="G8" s="22">
        <f ca="1">IF($Y$53-1=G6,$Y$58,ROUND(IF(AND(NOT(ISBLANK($R$22)),NOT(ISBLANK($R$21)),G6=$R$22),$R$21,IF(AND(NOT(ISBLANK($T$22)),NOT(ISBLANK($T$21)),G6=$T$22),$T$21,IF(AND(NOT(ISBLANK($J$21)),$Y$53=G6),$J$21,IF(AND(NOT(ISBLANK($L$22)),NOT(ISBLANK($L$21)),G6&lt;$Y$53+$L$22),$L$21+INDIRECT("contributions_year"&amp;G6-1-$Y$52)+IF(G6-1-$Y$52=0,(1-($Y$60/$Y$61))*$Y$57,0),IF(AND(NOT(ISBLANK($N$21)),NOT(ISBLANK($N$22)),NOT(ISBLANK($N$23)),$N$22&lt;=G6,G6&lt;=$N$23),$N$21,IF(AND(NOT(ISBLANK($P$21)),NOT(ISBLANK($P$22)),NOT(ISBLANK($P$23)),$P$22&lt;=G6,G6&lt;=$P$23),$P$21,(INDIRECT("contributions_year"&amp;G6-1-$Y$52)+IF(G6-1-$Y$52=0,(1-($Y$60/$Y$61))*$Y$57,0))*(1+$Y$59)))))))/$Y$62,0)*$Y$62)</f>
        <v>19600</v>
      </c>
      <c r="H8" s="22">
        <f t="shared" ref="H8:T8" ca="1" si="2">IF($Y$53-1=H6,$Y$58,ROUND(IF(AND(NOT(ISBLANK($R$22)),NOT(ISBLANK($R$21)),H6=$R$22),$R$21,IF(AND(NOT(ISBLANK($T$22)),NOT(ISBLANK($T$21)),H6=$T$22),$T$21,IF(AND(NOT(ISBLANK($J$21)),$Y$53=H6),$J$21,IF(AND(NOT(ISBLANK($L$22)),NOT(ISBLANK($L$21)),H6&lt;$Y$53+$L$22),$L$21+INDIRECT("contributions_year"&amp;H6-1-$Y$52)+IF(H6-1-$Y$52=0,(1-($Y$60/$Y$61))*$Y$57,0),IF(AND(NOT(ISBLANK($N$21)),NOT(ISBLANK($N$22)),NOT(ISBLANK($N$23)),$N$22&lt;=H6,H6&lt;=$N$23),$N$21,IF(AND(NOT(ISBLANK($P$21)),NOT(ISBLANK($P$22)),NOT(ISBLANK($P$23)),$P$22&lt;=H6,H6&lt;=$P$23),$P$21,(INDIRECT("contributions_year"&amp;H6-1-$Y$52)+IF(H6-1-$Y$52=0,(1-($Y$60/$Y$61))*$Y$57,0))*(1+$Y$59)))))))/$Y$62,0)*$Y$62)</f>
        <v>20200</v>
      </c>
      <c r="I8" s="22">
        <f t="shared" ca="1" si="2"/>
        <v>20800</v>
      </c>
      <c r="J8" s="22">
        <f t="shared" ca="1" si="2"/>
        <v>21500</v>
      </c>
      <c r="K8" s="22">
        <f t="shared" ca="1" si="2"/>
        <v>22200</v>
      </c>
      <c r="L8" s="22">
        <f t="shared" ca="1" si="2"/>
        <v>22900</v>
      </c>
      <c r="M8" s="22">
        <f t="shared" ca="1" si="2"/>
        <v>23600</v>
      </c>
      <c r="N8" s="22">
        <f t="shared" ca="1" si="2"/>
        <v>24400</v>
      </c>
      <c r="O8" s="22">
        <f t="shared" ca="1" si="2"/>
        <v>25200</v>
      </c>
      <c r="P8" s="22">
        <f t="shared" ca="1" si="2"/>
        <v>26000</v>
      </c>
      <c r="Q8" s="22">
        <f t="shared" ca="1" si="2"/>
        <v>26800</v>
      </c>
      <c r="R8" s="22">
        <f t="shared" ca="1" si="2"/>
        <v>27700</v>
      </c>
      <c r="S8" s="22">
        <f t="shared" ca="1" si="2"/>
        <v>28600</v>
      </c>
      <c r="T8" s="22">
        <f t="shared" ca="1" si="2"/>
        <v>29500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10571</v>
      </c>
      <c r="F11" s="27">
        <f t="shared" ref="F11:T11" ca="1" si="3">SUM(F8,F9,F10)</f>
        <v>19000</v>
      </c>
      <c r="G11" s="27">
        <f t="shared" ca="1" si="3"/>
        <v>19600</v>
      </c>
      <c r="H11" s="27">
        <f t="shared" ca="1" si="3"/>
        <v>20200</v>
      </c>
      <c r="I11" s="27">
        <f t="shared" ca="1" si="3"/>
        <v>20800</v>
      </c>
      <c r="J11" s="27">
        <f t="shared" ca="1" si="3"/>
        <v>21500</v>
      </c>
      <c r="K11" s="27">
        <f t="shared" ca="1" si="3"/>
        <v>22200</v>
      </c>
      <c r="L11" s="27">
        <f t="shared" ca="1" si="3"/>
        <v>22900</v>
      </c>
      <c r="M11" s="27">
        <f t="shared" ca="1" si="3"/>
        <v>23600</v>
      </c>
      <c r="N11" s="27">
        <f t="shared" ca="1" si="3"/>
        <v>24400</v>
      </c>
      <c r="O11" s="27">
        <f t="shared" ca="1" si="3"/>
        <v>25200</v>
      </c>
      <c r="P11" s="27">
        <f t="shared" ca="1" si="3"/>
        <v>26000</v>
      </c>
      <c r="Q11" s="27">
        <f t="shared" ca="1" si="3"/>
        <v>26800</v>
      </c>
      <c r="R11" s="27">
        <f t="shared" ca="1" si="3"/>
        <v>27700</v>
      </c>
      <c r="S11" s="27">
        <f t="shared" ca="1" si="3"/>
        <v>28600</v>
      </c>
      <c r="T11" s="27">
        <f t="shared" ca="1" si="3"/>
        <v>29500</v>
      </c>
    </row>
    <row r="12" spans="1:26" ht="18" x14ac:dyDescent="0.25">
      <c r="A12" s="196"/>
      <c r="B12" s="33" t="s">
        <v>111</v>
      </c>
      <c r="C12" s="34"/>
      <c r="D12" s="35"/>
      <c r="E12" s="36">
        <f>IF(Y56="Yes","N/A",'Property Info'!$B$20)</f>
        <v>0.02</v>
      </c>
      <c r="F12" s="36">
        <f>'Property Info'!$B$20</f>
        <v>0.02</v>
      </c>
      <c r="G12" s="36">
        <f>'Property Info'!$B$20</f>
        <v>0.02</v>
      </c>
      <c r="H12" s="36">
        <f>'Property Info'!$B$20</f>
        <v>0.02</v>
      </c>
      <c r="I12" s="36">
        <f>'Property Info'!$B$20</f>
        <v>0.02</v>
      </c>
      <c r="J12" s="36">
        <f>'Property Info'!$B$20</f>
        <v>0.02</v>
      </c>
      <c r="K12" s="36">
        <f>'Property Info'!$B$20</f>
        <v>0.02</v>
      </c>
      <c r="L12" s="36">
        <f>'Property Info'!$B$20</f>
        <v>0.02</v>
      </c>
      <c r="M12" s="36">
        <f>'Property Info'!$B$20</f>
        <v>0.02</v>
      </c>
      <c r="N12" s="36">
        <f>'Property Info'!$B$20</f>
        <v>0.02</v>
      </c>
      <c r="O12" s="36">
        <f>'Property Info'!$B$20</f>
        <v>0.02</v>
      </c>
      <c r="P12" s="36">
        <f>'Property Info'!$B$20</f>
        <v>0.02</v>
      </c>
      <c r="Q12" s="36">
        <f>'Property Info'!$B$20</f>
        <v>0.02</v>
      </c>
      <c r="R12" s="36">
        <f>'Property Info'!$B$20</f>
        <v>0.02</v>
      </c>
      <c r="S12" s="36">
        <f>'Property Info'!$B$20</f>
        <v>0.02</v>
      </c>
      <c r="T12" s="36">
        <f>'Property Info'!$B$20</f>
        <v>0.02</v>
      </c>
    </row>
    <row r="13" spans="1:26" ht="18" x14ac:dyDescent="0.25">
      <c r="A13" s="196"/>
      <c r="B13" s="211" t="s">
        <v>112</v>
      </c>
      <c r="C13" s="212"/>
      <c r="D13" s="213" t="s">
        <v>113</v>
      </c>
      <c r="E13" s="214">
        <f ca="1">IF($Y$56="Yes","N/A",ROUND((E7+E14/2+E11/2)*(E12*('Property Info'!$B$14/12)),0))</f>
        <v>1063</v>
      </c>
      <c r="F13" s="215">
        <f ca="1">ROUND(F12*(F7+F14/2+F11/2),0)</f>
        <v>1476</v>
      </c>
      <c r="G13" s="215">
        <f t="shared" ref="G13:T13" ca="1" si="4">ROUND(G12*(G7+G14/2+G11/2),0)</f>
        <v>1683</v>
      </c>
      <c r="H13" s="215">
        <f t="shared" ca="1" si="4"/>
        <v>1636</v>
      </c>
      <c r="I13" s="215">
        <f t="shared" ca="1" si="4"/>
        <v>1809</v>
      </c>
      <c r="J13" s="215">
        <f t="shared" ca="1" si="4"/>
        <v>2121</v>
      </c>
      <c r="K13" s="215">
        <f t="shared" ca="1" si="4"/>
        <v>2453</v>
      </c>
      <c r="L13" s="215">
        <f t="shared" ca="1" si="4"/>
        <v>2953</v>
      </c>
      <c r="M13" s="215">
        <f t="shared" ca="1" si="4"/>
        <v>3384</v>
      </c>
      <c r="N13" s="215">
        <f t="shared" ca="1" si="4"/>
        <v>3839</v>
      </c>
      <c r="O13" s="215">
        <f t="shared" ca="1" si="4"/>
        <v>3706</v>
      </c>
      <c r="P13" s="215">
        <f t="shared" ca="1" si="4"/>
        <v>3585</v>
      </c>
      <c r="Q13" s="215">
        <f t="shared" ca="1" si="4"/>
        <v>3444</v>
      </c>
      <c r="R13" s="215">
        <f t="shared" ca="1" si="4"/>
        <v>3021</v>
      </c>
      <c r="S13" s="215">
        <f t="shared" ca="1" si="4"/>
        <v>3349</v>
      </c>
      <c r="T13" s="215">
        <f t="shared" ca="1" si="4"/>
        <v>2034</v>
      </c>
    </row>
    <row r="14" spans="1:26" ht="18" x14ac:dyDescent="0.25">
      <c r="A14" s="196"/>
      <c r="B14" s="198" t="s">
        <v>114</v>
      </c>
      <c r="C14" s="216"/>
      <c r="D14" s="217"/>
      <c r="E14" s="218">
        <f ca="1">IF(Y56="Yes","N/A",ExpenseTable303[[#Totals],[0]])</f>
        <v>0</v>
      </c>
      <c r="F14" s="218">
        <f ca="1">ExpenseTable303[[#Totals],[1]]</f>
        <v>0</v>
      </c>
      <c r="G14" s="218">
        <f ca="1">ExpenseTable303[[#Totals],[2]]</f>
        <v>-20874.5</v>
      </c>
      <c r="H14" s="218">
        <f ca="1">ExpenseTable303[[#Totals],[3]]</f>
        <v>-26983.050000000003</v>
      </c>
      <c r="I14" s="218">
        <f ca="1">ExpenseTable303[[#Totals],[4]]</f>
        <v>0</v>
      </c>
      <c r="J14" s="218">
        <f ca="1">ExpenseTable303[[#Totals],[5]]</f>
        <v>-14749.2</v>
      </c>
      <c r="K14" s="218">
        <f ca="1">ExpenseTable303[[#Totals],[6]]</f>
        <v>0</v>
      </c>
      <c r="L14" s="218">
        <f ca="1">ExpenseTable303[[#Totals],[7]]</f>
        <v>0</v>
      </c>
      <c r="M14" s="218">
        <f ca="1">ExpenseTable303[[#Totals],[8]]</f>
        <v>-9263.4</v>
      </c>
      <c r="N14" s="218">
        <f ca="1">ExpenseTable303[[#Totals],[9]]</f>
        <v>0</v>
      </c>
      <c r="O14" s="218">
        <f ca="1">ExpenseTable303[[#Totals],[10]]</f>
        <v>-70635.899999999994</v>
      </c>
      <c r="P14" s="218">
        <f ca="1">ExpenseTable303[[#Totals],[11]]</f>
        <v>0</v>
      </c>
      <c r="Q14" s="218">
        <f ca="1">ExpenseTable303[[#Totals],[12]]</f>
        <v>-74134.5</v>
      </c>
      <c r="R14" s="218">
        <f ca="1">ExpenseTable303[[#Totals],[13]]</f>
        <v>-29518.400000000001</v>
      </c>
      <c r="S14" s="218">
        <f ca="1">ExpenseTable303[[#Totals],[14]]</f>
        <v>0</v>
      </c>
      <c r="T14" s="218">
        <f ca="1">ExpenseTable303[[#Totals],[15]]</f>
        <v>-196325.5</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64313</v>
      </c>
      <c r="F16" s="222">
        <f t="shared" ref="F16:T16" ca="1" si="5">SUM(F7,F11,F13,F14)</f>
        <v>84789</v>
      </c>
      <c r="G16" s="222">
        <f t="shared" ca="1" si="5"/>
        <v>85197.5</v>
      </c>
      <c r="H16" s="222">
        <f t="shared" ca="1" si="5"/>
        <v>80050.45</v>
      </c>
      <c r="I16" s="222">
        <f t="shared" ca="1" si="5"/>
        <v>102659.45</v>
      </c>
      <c r="J16" s="222">
        <f t="shared" ca="1" si="5"/>
        <v>111531.25</v>
      </c>
      <c r="K16" s="222">
        <f t="shared" ca="1" si="5"/>
        <v>136184.25</v>
      </c>
      <c r="L16" s="222">
        <f t="shared" ca="1" si="5"/>
        <v>162037.25</v>
      </c>
      <c r="M16" s="222">
        <f t="shared" ca="1" si="5"/>
        <v>179757.85</v>
      </c>
      <c r="N16" s="222">
        <f t="shared" ca="1" si="5"/>
        <v>207996.85</v>
      </c>
      <c r="O16" s="222">
        <f t="shared" ca="1" si="5"/>
        <v>166266.95000000001</v>
      </c>
      <c r="P16" s="222">
        <f t="shared" ca="1" si="5"/>
        <v>195851.95</v>
      </c>
      <c r="Q16" s="222">
        <f t="shared" ca="1" si="5"/>
        <v>151961.45000000001</v>
      </c>
      <c r="R16" s="222">
        <f t="shared" ca="1" si="5"/>
        <v>153164.05000000002</v>
      </c>
      <c r="S16" s="222">
        <f t="shared" ca="1" si="5"/>
        <v>185113.05000000002</v>
      </c>
      <c r="T16" s="222">
        <f t="shared" ca="1" si="5"/>
        <v>20321.550000000017</v>
      </c>
    </row>
    <row r="17" spans="1:20" ht="18" x14ac:dyDescent="0.25">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
      </c>
      <c r="T17" s="223" t="str">
        <f t="shared" ca="1" si="6"/>
        <v>(NOTE 5)</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287" t="s">
        <v>46</v>
      </c>
      <c r="J20" s="288"/>
      <c r="K20" s="289" t="s">
        <v>116</v>
      </c>
      <c r="L20" s="289"/>
      <c r="M20" s="285" t="s">
        <v>117</v>
      </c>
      <c r="N20" s="285"/>
      <c r="O20" s="285" t="s">
        <v>186</v>
      </c>
      <c r="P20" s="285"/>
      <c r="Q20" s="285" t="s">
        <v>55</v>
      </c>
      <c r="R20" s="285"/>
      <c r="S20" s="285" t="s">
        <v>58</v>
      </c>
      <c r="T20" s="286"/>
    </row>
    <row r="21" spans="1:20" ht="18" x14ac:dyDescent="0.25">
      <c r="A21" s="209"/>
      <c r="B21" s="209"/>
      <c r="C21" s="97"/>
      <c r="D21" s="97"/>
      <c r="E21" s="97"/>
      <c r="F21" s="97"/>
      <c r="G21" s="97"/>
      <c r="H21" s="97"/>
      <c r="I21" s="254" t="s">
        <v>118</v>
      </c>
      <c r="J21" s="79">
        <v>19000</v>
      </c>
      <c r="K21" s="234" t="s">
        <v>119</v>
      </c>
      <c r="L21" s="79"/>
      <c r="M21" s="234" t="s">
        <v>118</v>
      </c>
      <c r="N21" s="80">
        <v>29500</v>
      </c>
      <c r="O21" s="234" t="s">
        <v>118</v>
      </c>
      <c r="P21" s="80"/>
      <c r="Q21" s="234" t="s">
        <v>118</v>
      </c>
      <c r="R21" s="79"/>
      <c r="S21" s="234" t="s">
        <v>118</v>
      </c>
      <c r="T21" s="83"/>
    </row>
    <row r="22" spans="1:20" ht="18" x14ac:dyDescent="0.25">
      <c r="A22" s="209"/>
      <c r="B22" s="209"/>
      <c r="C22" s="97"/>
      <c r="D22" s="97"/>
      <c r="E22" s="97"/>
      <c r="F22" s="97"/>
      <c r="G22" s="97"/>
      <c r="H22" s="97"/>
      <c r="I22" s="254"/>
      <c r="J22" s="256"/>
      <c r="K22" s="234" t="s">
        <v>120</v>
      </c>
      <c r="L22" s="81"/>
      <c r="M22" s="234" t="s">
        <v>121</v>
      </c>
      <c r="N22" s="81">
        <v>2042</v>
      </c>
      <c r="O22" s="234" t="s">
        <v>121</v>
      </c>
      <c r="P22" s="81"/>
      <c r="Q22" s="234" t="s">
        <v>122</v>
      </c>
      <c r="R22" s="82"/>
      <c r="S22" s="234" t="s">
        <v>122</v>
      </c>
      <c r="T22" s="84"/>
    </row>
    <row r="23" spans="1:20" ht="18.75" thickBot="1" x14ac:dyDescent="0.3">
      <c r="A23" s="209"/>
      <c r="B23" s="209"/>
      <c r="C23" s="97"/>
      <c r="D23" s="97"/>
      <c r="E23" s="97"/>
      <c r="F23" s="97"/>
      <c r="G23" s="97"/>
      <c r="H23" s="97"/>
      <c r="I23" s="255"/>
      <c r="J23" s="257"/>
      <c r="K23" s="257"/>
      <c r="L23" s="85"/>
      <c r="M23" s="258" t="s">
        <v>123</v>
      </c>
      <c r="N23" s="86">
        <v>2047</v>
      </c>
      <c r="O23" s="258" t="s">
        <v>123</v>
      </c>
      <c r="P23" s="86"/>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0.25" thickBot="1" x14ac:dyDescent="0.3">
      <c r="A27" s="209"/>
      <c r="B27" s="208"/>
      <c r="C27" s="231" t="s">
        <v>101</v>
      </c>
      <c r="D27" s="198"/>
      <c r="E27" s="232"/>
      <c r="F27" s="233">
        <f>T6+1</f>
        <v>2042</v>
      </c>
      <c r="G27" s="233">
        <f>F27+1</f>
        <v>2043</v>
      </c>
      <c r="H27" s="233">
        <f t="shared" ref="H27:T27" si="7">G27+1</f>
        <v>2044</v>
      </c>
      <c r="I27" s="233">
        <f t="shared" si="7"/>
        <v>2045</v>
      </c>
      <c r="J27" s="233">
        <f t="shared" si="7"/>
        <v>2046</v>
      </c>
      <c r="K27" s="233">
        <f t="shared" si="7"/>
        <v>2047</v>
      </c>
      <c r="L27" s="233">
        <f t="shared" si="7"/>
        <v>2048</v>
      </c>
      <c r="M27" s="233">
        <f t="shared" si="7"/>
        <v>2049</v>
      </c>
      <c r="N27" s="233">
        <f t="shared" si="7"/>
        <v>2050</v>
      </c>
      <c r="O27" s="233">
        <f t="shared" si="7"/>
        <v>2051</v>
      </c>
      <c r="P27" s="233">
        <f t="shared" si="7"/>
        <v>2052</v>
      </c>
      <c r="Q27" s="233">
        <f t="shared" si="7"/>
        <v>2053</v>
      </c>
      <c r="R27" s="233">
        <f t="shared" si="7"/>
        <v>2054</v>
      </c>
      <c r="S27" s="233">
        <f t="shared" si="7"/>
        <v>2055</v>
      </c>
      <c r="T27" s="233">
        <f t="shared" si="7"/>
        <v>2056</v>
      </c>
    </row>
    <row r="28" spans="1:20" ht="18" x14ac:dyDescent="0.25">
      <c r="A28" s="209"/>
      <c r="B28" s="203" t="s">
        <v>104</v>
      </c>
      <c r="C28" s="204"/>
      <c r="D28" s="238"/>
      <c r="E28" s="239"/>
      <c r="F28" s="207">
        <f ca="1">T16</f>
        <v>20321.550000000017</v>
      </c>
      <c r="G28" s="207">
        <f t="shared" ref="G28:T28" ca="1" si="8">F37</f>
        <v>50522.550000000017</v>
      </c>
      <c r="H28" s="207">
        <f t="shared" ca="1" si="8"/>
        <v>72787.650000000023</v>
      </c>
      <c r="I28" s="207">
        <f t="shared" ca="1" si="8"/>
        <v>104038.65000000002</v>
      </c>
      <c r="J28" s="207">
        <f t="shared" ca="1" si="8"/>
        <v>135914.65000000002</v>
      </c>
      <c r="K28" s="207">
        <f t="shared" ca="1" si="8"/>
        <v>144534.35000000003</v>
      </c>
      <c r="L28" s="207">
        <f t="shared" ca="1" si="8"/>
        <v>177220.35000000003</v>
      </c>
      <c r="M28" s="207">
        <f t="shared" ca="1" si="8"/>
        <v>171883.25000000003</v>
      </c>
      <c r="N28" s="207">
        <f t="shared" ca="1" si="8"/>
        <v>166182.95000000001</v>
      </c>
      <c r="O28" s="207">
        <f t="shared" ca="1" si="8"/>
        <v>105436.75000000001</v>
      </c>
      <c r="P28" s="207">
        <f t="shared" ca="1" si="8"/>
        <v>37837.25</v>
      </c>
      <c r="Q28" s="207">
        <f t="shared" ca="1" si="8"/>
        <v>73439.25</v>
      </c>
      <c r="R28" s="207">
        <f t="shared" ca="1" si="8"/>
        <v>110864.25</v>
      </c>
      <c r="S28" s="207">
        <f t="shared" ca="1" si="8"/>
        <v>132581.65</v>
      </c>
      <c r="T28" s="207">
        <f t="shared" ca="1" si="8"/>
        <v>173512.65</v>
      </c>
    </row>
    <row r="29" spans="1:20" ht="18" x14ac:dyDescent="0.25">
      <c r="A29" s="209"/>
      <c r="B29" s="28"/>
      <c r="C29" s="20" t="s">
        <v>106</v>
      </c>
      <c r="D29" s="21"/>
      <c r="E29" s="29"/>
      <c r="F29" s="22">
        <f ca="1">IF($Y$53-1=F27,$Y$58,ROUND(IF(AND(NOT(ISBLANK($R$22)),NOT(ISBLANK($R$21)),F27=$R$22),$R$21,IF(AND(NOT(ISBLANK($T$22)),NOT(ISBLANK($T$21)),F27=$T$22),$T$21,IF(AND(NOT(ISBLANK($J$21)),$Y$53=F27),$J$21,IF(AND(NOT(ISBLANK($L$22)),NOT(ISBLANK($L$21)),F27&lt;$Y$53+$L$22),$L$21+INDIRECT("contributions_year"&amp;F27-1-$Y$52)+IF(F27-1-$Y$52=0,(1-($Y$60/$Y$61))*$Y$57,0),IF(AND(NOT(ISBLANK($N$21)),NOT(ISBLANK($N$22)),NOT(ISBLANK($N$23)),$N$22&lt;=F27,F27&lt;=$N$23),$N$21,IF(AND(NOT(ISBLANK($P$21)),NOT(ISBLANK($P$22)),NOT(ISBLANK($P$23)),$P$22&lt;=F27,F27&lt;=$P$23),$P$21,(INDIRECT("contributions_year"&amp;F27-1-$Y$52)+IF(F27-1-$Y$52=0,(1-($Y$60/$Y$61))*$Y$57,0))*(1+$Y$59)))))))/$Y$62,0)*$Y$62)</f>
        <v>29500</v>
      </c>
      <c r="G29" s="22">
        <f ca="1">IF($Y$53-1=G27,$Y$58,ROUND(IF(AND(NOT(ISBLANK($R$22)),NOT(ISBLANK($R$21)),G27=$R$22),$R$21,IF(AND(NOT(ISBLANK($T$22)),NOT(ISBLANK($T$21)),G27=$T$22),$T$21,IF(AND(NOT(ISBLANK($J$21)),$Y$53=G27),$J$21,IF(AND(NOT(ISBLANK($L$22)),NOT(ISBLANK($L$21)),G27&lt;$Y$53+$L$22),$L$21+INDIRECT("contributions_year"&amp;G27-1-$Y$52)+IF(G27-1-$Y$52=0,(1-($Y$60/$Y$61))*$Y$57,0),IF(AND(NOT(ISBLANK($N$21)),NOT(ISBLANK($N$22)),NOT(ISBLANK($N$23)),$N$22&lt;=G27,G27&lt;=$N$23),$N$21,IF(AND(NOT(ISBLANK($P$21)),NOT(ISBLANK($P$22)),NOT(ISBLANK($P$23)),$P$22&lt;=G27,G27&lt;=$P$23),$P$21,(INDIRECT("contributions_year"&amp;G27-1-$Y$52)+IF(G27-1-$Y$52=0,(1-($Y$60/$Y$61))*$Y$57,0))*(1+$Y$59)))))))/$Y$62,0)*$Y$62)</f>
        <v>29500</v>
      </c>
      <c r="H29" s="22">
        <f t="shared" ref="H29:T29" ca="1" si="9">IF($Y$53-1=H27,$Y$58,ROUND(IF(AND(NOT(ISBLANK($R$22)),NOT(ISBLANK($R$21)),H27=$R$22),$R$21,IF(AND(NOT(ISBLANK($T$22)),NOT(ISBLANK($T$21)),H27=$T$22),$T$21,IF(AND(NOT(ISBLANK($J$21)),$Y$53=H27),$J$21,IF(AND(NOT(ISBLANK($L$22)),NOT(ISBLANK($L$21)),H27&lt;$Y$53+$L$22),$L$21+INDIRECT("contributions_year"&amp;H27-1-$Y$52)+IF(H27-1-$Y$52=0,(1-($Y$60/$Y$61))*$Y$57,0),IF(AND(NOT(ISBLANK($N$21)),NOT(ISBLANK($N$22)),NOT(ISBLANK($N$23)),$N$22&lt;=H27,H27&lt;=$N$23),$N$21,IF(AND(NOT(ISBLANK($P$21)),NOT(ISBLANK($P$22)),NOT(ISBLANK($P$23)),$P$22&lt;=H27,H27&lt;=$P$23),$P$21,(INDIRECT("contributions_year"&amp;H27-1-$Y$52)+IF(H27-1-$Y$52=0,(1-($Y$60/$Y$61))*$Y$57,0))*(1+$Y$59)))))))/$Y$62,0)*$Y$62)</f>
        <v>29500</v>
      </c>
      <c r="I29" s="22">
        <f t="shared" ca="1" si="9"/>
        <v>29500</v>
      </c>
      <c r="J29" s="22">
        <f t="shared" ca="1" si="9"/>
        <v>29500</v>
      </c>
      <c r="K29" s="22">
        <f t="shared" ca="1" si="9"/>
        <v>29500</v>
      </c>
      <c r="L29" s="22">
        <f t="shared" ca="1" si="9"/>
        <v>30400</v>
      </c>
      <c r="M29" s="22">
        <f t="shared" ca="1" si="9"/>
        <v>31400</v>
      </c>
      <c r="N29" s="22">
        <f t="shared" ca="1" si="9"/>
        <v>32400</v>
      </c>
      <c r="O29" s="22">
        <f t="shared" ca="1" si="9"/>
        <v>33400</v>
      </c>
      <c r="P29" s="22">
        <f t="shared" ca="1" si="9"/>
        <v>34500</v>
      </c>
      <c r="Q29" s="22">
        <f t="shared" ca="1" si="9"/>
        <v>35600</v>
      </c>
      <c r="R29" s="22">
        <f t="shared" ca="1" si="9"/>
        <v>36700</v>
      </c>
      <c r="S29" s="22">
        <f t="shared" ca="1" si="9"/>
        <v>37900</v>
      </c>
      <c r="T29" s="22">
        <f t="shared" ca="1" si="9"/>
        <v>39100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29500</v>
      </c>
      <c r="G32" s="27">
        <f t="shared" ca="1" si="10"/>
        <v>29500</v>
      </c>
      <c r="H32" s="27">
        <f t="shared" ca="1" si="10"/>
        <v>29500</v>
      </c>
      <c r="I32" s="27">
        <f t="shared" ca="1" si="10"/>
        <v>29500</v>
      </c>
      <c r="J32" s="27">
        <f t="shared" ca="1" si="10"/>
        <v>29500</v>
      </c>
      <c r="K32" s="27">
        <f t="shared" ca="1" si="10"/>
        <v>29500</v>
      </c>
      <c r="L32" s="27">
        <f t="shared" ca="1" si="10"/>
        <v>30400</v>
      </c>
      <c r="M32" s="27">
        <f t="shared" ca="1" si="10"/>
        <v>31400</v>
      </c>
      <c r="N32" s="27">
        <f t="shared" ca="1" si="10"/>
        <v>32400</v>
      </c>
      <c r="O32" s="27">
        <f t="shared" ca="1" si="10"/>
        <v>33400</v>
      </c>
      <c r="P32" s="27">
        <f t="shared" ca="1" si="10"/>
        <v>34500</v>
      </c>
      <c r="Q32" s="27">
        <f t="shared" ca="1" si="10"/>
        <v>35600</v>
      </c>
      <c r="R32" s="27">
        <f t="shared" ca="1" si="10"/>
        <v>36700</v>
      </c>
      <c r="S32" s="27">
        <f t="shared" ca="1" si="10"/>
        <v>37900</v>
      </c>
      <c r="T32" s="27">
        <f t="shared" ca="1" si="10"/>
        <v>39100</v>
      </c>
    </row>
    <row r="33" spans="1:20" ht="18" x14ac:dyDescent="0.25">
      <c r="A33" s="209"/>
      <c r="B33" s="33" t="s">
        <v>111</v>
      </c>
      <c r="C33" s="34"/>
      <c r="D33" s="35"/>
      <c r="E33" s="37"/>
      <c r="F33" s="36">
        <f>'Property Info'!$B$20</f>
        <v>0.02</v>
      </c>
      <c r="G33" s="36">
        <f>'Property Info'!$B$20</f>
        <v>0.02</v>
      </c>
      <c r="H33" s="36">
        <f>'Property Info'!$B$20</f>
        <v>0.02</v>
      </c>
      <c r="I33" s="36">
        <f>'Property Info'!$B$20</f>
        <v>0.02</v>
      </c>
      <c r="J33" s="36">
        <f>'Property Info'!$B$20</f>
        <v>0.02</v>
      </c>
      <c r="K33" s="36">
        <f>'Property Info'!$B$20</f>
        <v>0.02</v>
      </c>
      <c r="L33" s="36">
        <f>'Property Info'!$B$20</f>
        <v>0.02</v>
      </c>
      <c r="M33" s="36">
        <f>'Property Info'!$B$20</f>
        <v>0.02</v>
      </c>
      <c r="N33" s="36">
        <f>'Property Info'!$B$20</f>
        <v>0.02</v>
      </c>
      <c r="O33" s="36">
        <f>'Property Info'!$B$20</f>
        <v>0.02</v>
      </c>
      <c r="P33" s="36">
        <f>'Property Info'!$B$20</f>
        <v>0.02</v>
      </c>
      <c r="Q33" s="36">
        <f>'Property Info'!$B$20</f>
        <v>0.02</v>
      </c>
      <c r="R33" s="36">
        <f>'Property Info'!$B$20</f>
        <v>0.02</v>
      </c>
      <c r="S33" s="36">
        <f>'Property Info'!$B$20</f>
        <v>0.02</v>
      </c>
      <c r="T33" s="36">
        <f>'Property Info'!$B$20</f>
        <v>0.02</v>
      </c>
    </row>
    <row r="34" spans="1:20" ht="18" x14ac:dyDescent="0.25">
      <c r="A34" s="209"/>
      <c r="B34" s="211" t="s">
        <v>112</v>
      </c>
      <c r="C34" s="212"/>
      <c r="D34" s="240"/>
      <c r="E34" s="241"/>
      <c r="F34" s="215">
        <f t="shared" ref="F34:T34" ca="1" si="11">ROUND(F33*(F28+F35/2+F32/2),0)</f>
        <v>701</v>
      </c>
      <c r="G34" s="215">
        <f t="shared" ca="1" si="11"/>
        <v>1221</v>
      </c>
      <c r="H34" s="215">
        <f t="shared" ca="1" si="11"/>
        <v>1751</v>
      </c>
      <c r="I34" s="215">
        <f t="shared" ca="1" si="11"/>
        <v>2376</v>
      </c>
      <c r="J34" s="215">
        <f t="shared" ca="1" si="11"/>
        <v>2777</v>
      </c>
      <c r="K34" s="215">
        <f t="shared" ca="1" si="11"/>
        <v>3186</v>
      </c>
      <c r="L34" s="215">
        <f t="shared" ca="1" si="11"/>
        <v>3456</v>
      </c>
      <c r="M34" s="215">
        <f t="shared" ca="1" si="11"/>
        <v>3347</v>
      </c>
      <c r="N34" s="215">
        <f t="shared" ca="1" si="11"/>
        <v>2689</v>
      </c>
      <c r="O34" s="215">
        <f t="shared" ca="1" si="11"/>
        <v>1419</v>
      </c>
      <c r="P34" s="215">
        <f t="shared" ca="1" si="11"/>
        <v>1102</v>
      </c>
      <c r="Q34" s="215">
        <f t="shared" ca="1" si="11"/>
        <v>1825</v>
      </c>
      <c r="R34" s="215">
        <f t="shared" ca="1" si="11"/>
        <v>2410</v>
      </c>
      <c r="S34" s="215">
        <f t="shared" ca="1" si="11"/>
        <v>3031</v>
      </c>
      <c r="T34" s="215">
        <f t="shared" ca="1" si="11"/>
        <v>3537</v>
      </c>
    </row>
    <row r="35" spans="1:20" ht="18" x14ac:dyDescent="0.25">
      <c r="A35" s="209"/>
      <c r="B35" s="198" t="s">
        <v>114</v>
      </c>
      <c r="C35" s="216"/>
      <c r="D35" s="217"/>
      <c r="E35" s="192"/>
      <c r="F35" s="218">
        <f ca="1">ExpenseTable303[[#Totals],[16]]</f>
        <v>0</v>
      </c>
      <c r="G35" s="218">
        <f ca="1">ExpenseTable303[[#Totals],[17]]</f>
        <v>-8455.9</v>
      </c>
      <c r="H35" s="218">
        <f ca="1">ExpenseTable303[[#Totals],[18]]</f>
        <v>0</v>
      </c>
      <c r="I35" s="218">
        <f ca="1">ExpenseTable303[[#Totals],[19]]</f>
        <v>0</v>
      </c>
      <c r="J35" s="218">
        <f ca="1">ExpenseTable303[[#Totals],[20]]</f>
        <v>-23657.3</v>
      </c>
      <c r="K35" s="218">
        <f ca="1">ExpenseTable303[[#Totals],[21]]</f>
        <v>0</v>
      </c>
      <c r="L35" s="218">
        <f ca="1">ExpenseTable303[[#Totals],[22]]</f>
        <v>-39193.1</v>
      </c>
      <c r="M35" s="218">
        <f ca="1">ExpenseTable303[[#Totals],[23]]</f>
        <v>-40447.300000000003</v>
      </c>
      <c r="N35" s="218">
        <f ca="1">ExpenseTable303[[#Totals],[24]]</f>
        <v>-95835.199999999997</v>
      </c>
      <c r="O35" s="218">
        <f ca="1">ExpenseTable303[[#Totals],[25]]</f>
        <v>-102418.5</v>
      </c>
      <c r="P35" s="218">
        <f ca="1">ExpenseTable303[[#Totals],[26]]</f>
        <v>0</v>
      </c>
      <c r="Q35" s="218">
        <f ca="1">ExpenseTable303[[#Totals],[27]]</f>
        <v>0</v>
      </c>
      <c r="R35" s="218">
        <f ca="1">ExpenseTable303[[#Totals],[28]]</f>
        <v>-17392.599999999999</v>
      </c>
      <c r="S35" s="218">
        <f ca="1">ExpenseTable303[[#Totals],[29]]</f>
        <v>0</v>
      </c>
      <c r="T35" s="218">
        <f ca="1">ExpenseTable303[[#Totals],[30]]</f>
        <v>-32416.2</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50522.550000000017</v>
      </c>
      <c r="G37" s="222">
        <f t="shared" ca="1" si="12"/>
        <v>72787.650000000023</v>
      </c>
      <c r="H37" s="222">
        <f t="shared" ca="1" si="12"/>
        <v>104038.65000000002</v>
      </c>
      <c r="I37" s="222">
        <f t="shared" ca="1" si="12"/>
        <v>135914.65000000002</v>
      </c>
      <c r="J37" s="222">
        <f t="shared" ca="1" si="12"/>
        <v>144534.35000000003</v>
      </c>
      <c r="K37" s="222">
        <f t="shared" ca="1" si="12"/>
        <v>177220.35000000003</v>
      </c>
      <c r="L37" s="222">
        <f t="shared" ca="1" si="12"/>
        <v>171883.25000000003</v>
      </c>
      <c r="M37" s="222">
        <f t="shared" ca="1" si="12"/>
        <v>166182.95000000001</v>
      </c>
      <c r="N37" s="222">
        <f t="shared" ca="1" si="12"/>
        <v>105436.75000000001</v>
      </c>
      <c r="O37" s="222">
        <f t="shared" ca="1" si="12"/>
        <v>37837.25</v>
      </c>
      <c r="P37" s="222">
        <f t="shared" ca="1" si="12"/>
        <v>73439.25</v>
      </c>
      <c r="Q37" s="222">
        <f t="shared" ca="1" si="12"/>
        <v>110864.25</v>
      </c>
      <c r="R37" s="222">
        <f t="shared" ca="1" si="12"/>
        <v>132581.65</v>
      </c>
      <c r="S37" s="222">
        <f t="shared" ca="1" si="12"/>
        <v>173512.65</v>
      </c>
      <c r="T37" s="222">
        <f t="shared" ca="1" si="12"/>
        <v>183733.44999999998</v>
      </c>
    </row>
    <row r="38" spans="1:20" ht="18" x14ac:dyDescent="0.25">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
      </c>
      <c r="N38" s="223" t="str">
        <f t="shared" ca="1" si="13"/>
        <v/>
      </c>
      <c r="O38" s="223" t="str">
        <f t="shared" ca="1" si="13"/>
        <v/>
      </c>
      <c r="P38" s="223" t="str">
        <f t="shared" ca="1" si="13"/>
        <v/>
      </c>
      <c r="Q38" s="223" t="str">
        <f t="shared" ca="1" si="13"/>
        <v/>
      </c>
      <c r="R38" s="223" t="str">
        <f t="shared" ca="1" si="13"/>
        <v/>
      </c>
      <c r="S38" s="223" t="str">
        <f t="shared" ca="1" si="13"/>
        <v/>
      </c>
      <c r="T38" s="223" t="str">
        <f ca="1">IFERROR(IF(-T37/T35&lt;($Y$63+$AI$1004),"(NOTES 4&amp;5)","(NOTE 4)"),"")</f>
        <v>(NOTE 4)</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97"/>
      <c r="K42" s="97"/>
      <c r="L42" s="97"/>
      <c r="M42" s="97"/>
      <c r="N42" s="97"/>
      <c r="O42" s="97"/>
      <c r="P42" s="100"/>
      <c r="Q42" s="100"/>
      <c r="R42" s="100"/>
      <c r="S42" s="100"/>
      <c r="T42" s="100"/>
    </row>
    <row r="43" spans="1:20" ht="18" x14ac:dyDescent="0.25">
      <c r="A43" s="100"/>
      <c r="B43" s="249" t="s">
        <v>61</v>
      </c>
      <c r="C43" s="208"/>
      <c r="D43" s="196"/>
      <c r="E43" s="250"/>
      <c r="F43" s="196"/>
      <c r="G43" s="196"/>
      <c r="H43" s="196"/>
      <c r="I43" s="100"/>
      <c r="J43" s="97"/>
      <c r="K43" s="97"/>
      <c r="L43" s="97"/>
      <c r="M43" s="97"/>
      <c r="N43" s="97"/>
      <c r="O43" s="97"/>
      <c r="P43" s="100"/>
      <c r="Q43" s="100"/>
      <c r="R43" s="100"/>
      <c r="S43" s="100"/>
      <c r="T43" s="100"/>
    </row>
    <row r="44" spans="1:20" ht="18" x14ac:dyDescent="0.25">
      <c r="A44" s="210" t="s">
        <v>62</v>
      </c>
      <c r="B44" s="224" t="s">
        <v>197</v>
      </c>
      <c r="C44" s="100"/>
      <c r="D44" s="192"/>
      <c r="E44" s="216"/>
      <c r="F44" s="216"/>
      <c r="G44" s="216"/>
      <c r="H44" s="216"/>
      <c r="I44" s="100"/>
      <c r="J44" s="97"/>
      <c r="K44" s="97"/>
      <c r="L44" s="97"/>
      <c r="M44" s="97"/>
      <c r="N44" s="97"/>
      <c r="O44" s="97"/>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2026 are the remaining budgeted; 2027 is the first year of recommended contributions.</v>
      </c>
      <c r="C45" s="100"/>
      <c r="D45" s="216"/>
      <c r="E45" s="221"/>
      <c r="F45" s="192"/>
      <c r="G45" s="192"/>
      <c r="H45" s="192"/>
      <c r="I45" s="100"/>
      <c r="J45" s="97"/>
      <c r="K45" s="97"/>
      <c r="L45" s="97"/>
      <c r="M45" s="97"/>
      <c r="N45" s="97"/>
      <c r="O45" s="97"/>
      <c r="P45" s="100"/>
      <c r="Q45" s="100"/>
      <c r="R45" s="100"/>
      <c r="S45" s="100"/>
      <c r="T45" s="100"/>
    </row>
    <row r="46" spans="1:20" ht="18" x14ac:dyDescent="0.25">
      <c r="A46" s="210" t="s">
        <v>64</v>
      </c>
      <c r="B46" s="251">
        <f>[0]!Interest</f>
        <v>0.02</v>
      </c>
      <c r="C46" s="148" t="str">
        <f>"is the estimated annual rate of return on invested reserves"&amp;IF(Remaining_Budgeted_Months&lt;12,CONCATENATE("; ",Current_Fiscal_Year," is a partial year of interest earned."),".")</f>
        <v>is the estimated annual rate of return on invested reserves; 2026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198</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307" t="s">
        <v>128</v>
      </c>
      <c r="L51" s="308"/>
      <c r="M51" s="308"/>
      <c r="N51" s="308"/>
      <c r="O51" s="308"/>
      <c r="P51" s="308"/>
      <c r="Q51" s="308"/>
      <c r="R51" s="308"/>
      <c r="S51" s="309"/>
      <c r="V51" s="304" t="s">
        <v>129</v>
      </c>
      <c r="W51" s="305"/>
      <c r="X51" s="305"/>
      <c r="Y51" s="306"/>
    </row>
    <row r="52" spans="1:25" ht="15.75" x14ac:dyDescent="0.25">
      <c r="A52" s="97"/>
      <c r="B52" s="97"/>
      <c r="C52" s="97"/>
      <c r="D52" s="97"/>
      <c r="E52" s="97"/>
      <c r="F52" s="97"/>
      <c r="G52" s="97"/>
      <c r="H52" s="97"/>
      <c r="I52" s="97"/>
      <c r="J52" s="97"/>
      <c r="K52" s="310"/>
      <c r="L52" s="311"/>
      <c r="M52" s="311"/>
      <c r="N52" s="311"/>
      <c r="O52" s="311"/>
      <c r="P52" s="311"/>
      <c r="Q52" s="311"/>
      <c r="R52" s="311"/>
      <c r="S52" s="312"/>
      <c r="T52" s="97"/>
      <c r="V52" s="261" t="s">
        <v>8</v>
      </c>
      <c r="X52" s="39"/>
      <c r="Y52" s="262">
        <f>'Property Info'!B10</f>
        <v>2026</v>
      </c>
    </row>
    <row r="53" spans="1:25" ht="16.5" thickBot="1" x14ac:dyDescent="0.3">
      <c r="A53" s="97"/>
      <c r="B53" s="97"/>
      <c r="C53" s="97"/>
      <c r="D53" s="97"/>
      <c r="E53" s="97"/>
      <c r="F53" s="97"/>
      <c r="G53" s="97"/>
      <c r="H53" s="97"/>
      <c r="I53" s="97"/>
      <c r="J53" s="97"/>
      <c r="K53" s="313"/>
      <c r="L53" s="314"/>
      <c r="M53" s="314"/>
      <c r="N53" s="314"/>
      <c r="O53" s="314"/>
      <c r="P53" s="314"/>
      <c r="Q53" s="314"/>
      <c r="R53" s="314"/>
      <c r="S53" s="315"/>
      <c r="T53" s="97"/>
      <c r="V53" s="261" t="s">
        <v>130</v>
      </c>
      <c r="W53" s="39"/>
      <c r="X53" s="39"/>
      <c r="Y53" s="262">
        <f>'Property Info'!$B$12</f>
        <v>2027</v>
      </c>
    </row>
    <row r="54" spans="1:25" ht="16.5" thickTop="1" x14ac:dyDescent="0.25">
      <c r="A54" s="97"/>
      <c r="B54" s="97"/>
      <c r="C54" s="97"/>
      <c r="D54" s="97"/>
      <c r="E54" s="97"/>
      <c r="F54" s="97"/>
      <c r="G54" s="97"/>
      <c r="H54" s="97"/>
      <c r="I54" s="97"/>
      <c r="J54" s="97"/>
      <c r="K54" s="299" t="s">
        <v>131</v>
      </c>
      <c r="L54" s="294" t="s">
        <v>132</v>
      </c>
      <c r="M54" s="292" t="s">
        <v>133</v>
      </c>
      <c r="N54" s="299" t="s">
        <v>131</v>
      </c>
      <c r="O54" s="294" t="s">
        <v>132</v>
      </c>
      <c r="P54" s="292" t="s">
        <v>133</v>
      </c>
      <c r="Q54" s="299" t="s">
        <v>131</v>
      </c>
      <c r="R54" s="294" t="s">
        <v>132</v>
      </c>
      <c r="S54" s="292" t="s">
        <v>133</v>
      </c>
      <c r="T54" s="97"/>
      <c r="V54" s="261" t="s">
        <v>134</v>
      </c>
      <c r="W54" s="39"/>
      <c r="X54" s="39"/>
      <c r="Y54" s="263">
        <v>52679</v>
      </c>
    </row>
    <row r="55" spans="1:25" ht="15.75" x14ac:dyDescent="0.25">
      <c r="A55" s="97"/>
      <c r="B55" s="97"/>
      <c r="C55" s="97"/>
      <c r="D55" s="97"/>
      <c r="E55" s="97"/>
      <c r="F55" s="97"/>
      <c r="G55" s="97"/>
      <c r="H55" s="97"/>
      <c r="I55" s="97"/>
      <c r="J55" s="97"/>
      <c r="K55" s="300"/>
      <c r="L55" s="295"/>
      <c r="M55" s="293"/>
      <c r="N55" s="300"/>
      <c r="O55" s="295"/>
      <c r="P55" s="293"/>
      <c r="Q55" s="300"/>
      <c r="R55" s="295"/>
      <c r="S55" s="293"/>
      <c r="T55" s="97"/>
      <c r="V55" s="261" t="s">
        <v>135</v>
      </c>
      <c r="Y55" s="264">
        <f>'Property Info'!$B$15</f>
        <v>46053</v>
      </c>
    </row>
    <row r="56" spans="1:25" ht="15.75" x14ac:dyDescent="0.25">
      <c r="A56" s="97"/>
      <c r="B56" s="97"/>
      <c r="C56" s="97"/>
      <c r="D56" s="97"/>
      <c r="E56" s="97"/>
      <c r="F56" s="97"/>
      <c r="G56" s="97"/>
      <c r="H56" s="97"/>
      <c r="I56" s="97"/>
      <c r="J56" s="97"/>
      <c r="K56" s="300"/>
      <c r="L56" s="295"/>
      <c r="M56" s="293"/>
      <c r="N56" s="300"/>
      <c r="O56" s="295"/>
      <c r="P56" s="293"/>
      <c r="Q56" s="300"/>
      <c r="R56" s="295"/>
      <c r="S56" s="293"/>
      <c r="T56" s="97"/>
      <c r="V56" s="261" t="s">
        <v>14</v>
      </c>
      <c r="Y56" s="265" t="str">
        <f>'Property Info'!$B$16</f>
        <v>No</v>
      </c>
    </row>
    <row r="57" spans="1:25" ht="15.75" x14ac:dyDescent="0.25">
      <c r="A57" s="97"/>
      <c r="B57" s="97"/>
      <c r="C57" s="97"/>
      <c r="D57" s="97"/>
      <c r="E57" s="97"/>
      <c r="F57" s="97"/>
      <c r="G57" s="97"/>
      <c r="H57" s="97"/>
      <c r="I57" s="97"/>
      <c r="J57" s="97"/>
      <c r="K57" s="298">
        <f>Current_Fiscal_Year+1</f>
        <v>2027</v>
      </c>
      <c r="L57" s="296">
        <f ca="1">F11</f>
        <v>19000</v>
      </c>
      <c r="M57" s="290">
        <f ca="1">F16</f>
        <v>84789</v>
      </c>
      <c r="N57" s="298">
        <f>K57+10</f>
        <v>2037</v>
      </c>
      <c r="O57" s="296">
        <f ca="1">P11</f>
        <v>26000</v>
      </c>
      <c r="P57" s="290">
        <f ca="1">P16</f>
        <v>195851.95</v>
      </c>
      <c r="Q57" s="298">
        <f>N57+10</f>
        <v>2047</v>
      </c>
      <c r="R57" s="296">
        <f ca="1">K32</f>
        <v>29500</v>
      </c>
      <c r="S57" s="290">
        <f ca="1">K37</f>
        <v>177220.35000000003</v>
      </c>
      <c r="T57" s="97"/>
      <c r="V57" s="261" t="s">
        <v>136</v>
      </c>
      <c r="X57" s="39"/>
      <c r="Y57" s="263">
        <v>11532</v>
      </c>
    </row>
    <row r="58" spans="1:25" ht="15.75" x14ac:dyDescent="0.25">
      <c r="A58" s="97"/>
      <c r="B58" s="97"/>
      <c r="C58" s="97"/>
      <c r="D58" s="97"/>
      <c r="E58" s="97"/>
      <c r="F58" s="97"/>
      <c r="G58" s="97"/>
      <c r="H58" s="97"/>
      <c r="I58" s="97"/>
      <c r="J58" s="97"/>
      <c r="K58" s="298"/>
      <c r="L58" s="297"/>
      <c r="M58" s="291"/>
      <c r="N58" s="298"/>
      <c r="O58" s="297"/>
      <c r="P58" s="291"/>
      <c r="Q58" s="298"/>
      <c r="R58" s="297"/>
      <c r="S58" s="291"/>
      <c r="T58" s="97"/>
      <c r="V58" s="261" t="s">
        <v>137</v>
      </c>
      <c r="X58" s="39"/>
      <c r="Y58" s="263">
        <v>0</v>
      </c>
    </row>
    <row r="59" spans="1:25" ht="15.75" x14ac:dyDescent="0.25">
      <c r="A59" s="97"/>
      <c r="B59" s="97"/>
      <c r="C59" s="97"/>
      <c r="D59" s="97"/>
      <c r="E59" s="97"/>
      <c r="F59" s="97"/>
      <c r="G59" s="97"/>
      <c r="H59" s="97"/>
      <c r="I59" s="97"/>
      <c r="J59" s="97"/>
      <c r="K59" s="298">
        <f>K57+1</f>
        <v>2028</v>
      </c>
      <c r="L59" s="296">
        <f ca="1">G11</f>
        <v>19600</v>
      </c>
      <c r="M59" s="290">
        <f ca="1">G16</f>
        <v>85197.5</v>
      </c>
      <c r="N59" s="298">
        <f>N57+1</f>
        <v>2038</v>
      </c>
      <c r="O59" s="296">
        <f ca="1">Q11</f>
        <v>26800</v>
      </c>
      <c r="P59" s="290">
        <f ca="1">Q16</f>
        <v>151961.45000000001</v>
      </c>
      <c r="Q59" s="298">
        <f>Q57+1</f>
        <v>2048</v>
      </c>
      <c r="R59" s="296">
        <f ca="1">L32</f>
        <v>30400</v>
      </c>
      <c r="S59" s="290">
        <f ca="1">L37</f>
        <v>171883.25000000003</v>
      </c>
      <c r="T59" s="97"/>
      <c r="V59" s="261" t="s">
        <v>138</v>
      </c>
      <c r="W59" s="39"/>
      <c r="X59" s="39"/>
      <c r="Y59" s="266">
        <f>'Property Info'!$B$19</f>
        <v>3.2000000000000001E-2</v>
      </c>
    </row>
    <row r="60" spans="1:25" ht="15.75" x14ac:dyDescent="0.25">
      <c r="A60" s="97"/>
      <c r="B60" s="97"/>
      <c r="C60" s="97"/>
      <c r="D60" s="97"/>
      <c r="E60" s="97"/>
      <c r="F60" s="97"/>
      <c r="G60" s="97"/>
      <c r="H60" s="97"/>
      <c r="I60" s="97"/>
      <c r="J60" s="97"/>
      <c r="K60" s="298"/>
      <c r="L60" s="297"/>
      <c r="M60" s="291"/>
      <c r="N60" s="298"/>
      <c r="O60" s="297"/>
      <c r="P60" s="291"/>
      <c r="Q60" s="298"/>
      <c r="R60" s="297"/>
      <c r="S60" s="291"/>
      <c r="T60" s="97"/>
      <c r="V60" s="261" t="s">
        <v>139</v>
      </c>
      <c r="W60" s="39"/>
      <c r="X60" s="39"/>
      <c r="Y60" s="262">
        <f>'Property Info'!$B$13</f>
        <v>11</v>
      </c>
    </row>
    <row r="61" spans="1:25" ht="15.75" x14ac:dyDescent="0.25">
      <c r="A61" s="97"/>
      <c r="B61" s="97"/>
      <c r="C61" s="97"/>
      <c r="D61" s="97"/>
      <c r="E61" s="97"/>
      <c r="F61" s="97"/>
      <c r="G61" s="97"/>
      <c r="H61" s="97"/>
      <c r="I61" s="97"/>
      <c r="J61" s="97"/>
      <c r="K61" s="298">
        <f>K59+1</f>
        <v>2029</v>
      </c>
      <c r="L61" s="296">
        <f ca="1">H11</f>
        <v>20200</v>
      </c>
      <c r="M61" s="290">
        <f ca="1">H16</f>
        <v>80050.45</v>
      </c>
      <c r="N61" s="298">
        <f>N59+1</f>
        <v>2039</v>
      </c>
      <c r="O61" s="296">
        <f ca="1">R11</f>
        <v>27700</v>
      </c>
      <c r="P61" s="290">
        <f ca="1">R16</f>
        <v>153164.05000000002</v>
      </c>
      <c r="Q61" s="298">
        <f>Q59+1</f>
        <v>2049</v>
      </c>
      <c r="R61" s="296">
        <f ca="1">M32</f>
        <v>31400</v>
      </c>
      <c r="S61" s="290">
        <f ca="1">M37</f>
        <v>166182.95000000001</v>
      </c>
      <c r="T61" s="97"/>
      <c r="V61" s="261" t="s">
        <v>140</v>
      </c>
      <c r="W61" s="39"/>
      <c r="X61" s="39"/>
      <c r="Y61" s="262">
        <f>'Property Info'!$B$21</f>
        <v>12</v>
      </c>
    </row>
    <row r="62" spans="1:25" ht="15.75" x14ac:dyDescent="0.25">
      <c r="A62" s="97"/>
      <c r="B62" s="97"/>
      <c r="C62" s="97"/>
      <c r="D62" s="97"/>
      <c r="E62" s="97"/>
      <c r="F62" s="97"/>
      <c r="G62" s="97"/>
      <c r="H62" s="97"/>
      <c r="I62" s="97"/>
      <c r="J62" s="97"/>
      <c r="K62" s="298"/>
      <c r="L62" s="297"/>
      <c r="M62" s="291"/>
      <c r="N62" s="298"/>
      <c r="O62" s="297"/>
      <c r="P62" s="291"/>
      <c r="Q62" s="298"/>
      <c r="R62" s="297"/>
      <c r="S62" s="291"/>
      <c r="T62" s="97"/>
      <c r="V62" s="261" t="s">
        <v>141</v>
      </c>
      <c r="W62" s="39"/>
      <c r="X62" s="39"/>
      <c r="Y62" s="263">
        <f>'Property Info'!$B$23</f>
        <v>100</v>
      </c>
    </row>
    <row r="63" spans="1:25" ht="16.5" thickBot="1" x14ac:dyDescent="0.3">
      <c r="A63" s="97"/>
      <c r="B63" s="97"/>
      <c r="C63" s="97"/>
      <c r="D63" s="97"/>
      <c r="E63" s="97"/>
      <c r="F63" s="97"/>
      <c r="G63" s="97"/>
      <c r="H63" s="97"/>
      <c r="I63" s="97"/>
      <c r="J63" s="97"/>
      <c r="K63" s="298">
        <f>K61+1</f>
        <v>2030</v>
      </c>
      <c r="L63" s="296">
        <f ca="1">I11</f>
        <v>20800</v>
      </c>
      <c r="M63" s="290">
        <f ca="1">I16</f>
        <v>102659.45</v>
      </c>
      <c r="N63" s="298">
        <f>N61+1</f>
        <v>2040</v>
      </c>
      <c r="O63" s="296">
        <f ca="1">S11</f>
        <v>28600</v>
      </c>
      <c r="P63" s="290">
        <f ca="1">S16</f>
        <v>185113.05000000002</v>
      </c>
      <c r="Q63" s="298">
        <f>Q61+1</f>
        <v>2050</v>
      </c>
      <c r="R63" s="296">
        <f ca="1">N32</f>
        <v>32400</v>
      </c>
      <c r="S63" s="290">
        <f ca="1">N37</f>
        <v>105436.75000000001</v>
      </c>
      <c r="T63" s="97"/>
      <c r="V63" s="267" t="s">
        <v>177</v>
      </c>
      <c r="W63" s="268"/>
      <c r="X63" s="268"/>
      <c r="Y63" s="269">
        <v>0.1</v>
      </c>
    </row>
    <row r="64" spans="1:25" x14ac:dyDescent="0.25">
      <c r="A64" s="97"/>
      <c r="B64" s="97"/>
      <c r="C64" s="97"/>
      <c r="D64" s="97"/>
      <c r="E64" s="97"/>
      <c r="F64" s="97"/>
      <c r="G64" s="97"/>
      <c r="H64" s="97"/>
      <c r="I64" s="97"/>
      <c r="J64" s="97"/>
      <c r="K64" s="298"/>
      <c r="L64" s="297"/>
      <c r="M64" s="291"/>
      <c r="N64" s="298"/>
      <c r="O64" s="297"/>
      <c r="P64" s="291"/>
      <c r="Q64" s="298"/>
      <c r="R64" s="297"/>
      <c r="S64" s="291"/>
      <c r="T64" s="97"/>
    </row>
    <row r="65" spans="1:20" x14ac:dyDescent="0.25">
      <c r="A65" s="97"/>
      <c r="B65" s="97"/>
      <c r="C65" s="97"/>
      <c r="D65" s="97"/>
      <c r="E65" s="97"/>
      <c r="F65" s="97"/>
      <c r="G65" s="97"/>
      <c r="H65" s="97"/>
      <c r="I65" s="97"/>
      <c r="J65" s="97"/>
      <c r="K65" s="298">
        <f>K63+1</f>
        <v>2031</v>
      </c>
      <c r="L65" s="296">
        <f ca="1">J11</f>
        <v>21500</v>
      </c>
      <c r="M65" s="290">
        <f ca="1">J16</f>
        <v>111531.25</v>
      </c>
      <c r="N65" s="298">
        <f>N63+1</f>
        <v>2041</v>
      </c>
      <c r="O65" s="296">
        <f ca="1">T11</f>
        <v>29500</v>
      </c>
      <c r="P65" s="290">
        <f ca="1">T16</f>
        <v>20321.550000000017</v>
      </c>
      <c r="Q65" s="298">
        <f>Q63+1</f>
        <v>2051</v>
      </c>
      <c r="R65" s="296">
        <f ca="1">O32</f>
        <v>33400</v>
      </c>
      <c r="S65" s="290">
        <f ca="1">O37</f>
        <v>37837.25</v>
      </c>
      <c r="T65" s="97"/>
    </row>
    <row r="66" spans="1:20" x14ac:dyDescent="0.25">
      <c r="A66" s="97"/>
      <c r="B66" s="97"/>
      <c r="C66" s="97"/>
      <c r="D66" s="97"/>
      <c r="E66" s="97"/>
      <c r="F66" s="97"/>
      <c r="G66" s="97"/>
      <c r="H66" s="97"/>
      <c r="I66" s="97"/>
      <c r="J66" s="97"/>
      <c r="K66" s="298"/>
      <c r="L66" s="297"/>
      <c r="M66" s="291"/>
      <c r="N66" s="298"/>
      <c r="O66" s="297"/>
      <c r="P66" s="291"/>
      <c r="Q66" s="298"/>
      <c r="R66" s="297"/>
      <c r="S66" s="291"/>
      <c r="T66" s="97"/>
    </row>
    <row r="67" spans="1:20" x14ac:dyDescent="0.25">
      <c r="A67" s="97"/>
      <c r="B67" s="97"/>
      <c r="C67" s="97"/>
      <c r="D67" s="97"/>
      <c r="E67" s="97"/>
      <c r="F67" s="97"/>
      <c r="G67" s="97"/>
      <c r="H67" s="97"/>
      <c r="I67" s="97"/>
      <c r="J67" s="97"/>
      <c r="K67" s="298">
        <f>K65+1</f>
        <v>2032</v>
      </c>
      <c r="L67" s="296">
        <f ca="1">K11</f>
        <v>22200</v>
      </c>
      <c r="M67" s="290">
        <f ca="1">K16</f>
        <v>136184.25</v>
      </c>
      <c r="N67" s="298">
        <f>N65+1</f>
        <v>2042</v>
      </c>
      <c r="O67" s="296">
        <f ca="1">F32</f>
        <v>29500</v>
      </c>
      <c r="P67" s="290">
        <f ca="1">F37</f>
        <v>50522.550000000017</v>
      </c>
      <c r="Q67" s="298">
        <f>Q65+1</f>
        <v>2052</v>
      </c>
      <c r="R67" s="296">
        <f ca="1">P32</f>
        <v>34500</v>
      </c>
      <c r="S67" s="290">
        <f ca="1">P37</f>
        <v>73439.25</v>
      </c>
      <c r="T67" s="97"/>
    </row>
    <row r="68" spans="1:20" x14ac:dyDescent="0.25">
      <c r="A68" s="97"/>
      <c r="B68" s="97"/>
      <c r="C68" s="97"/>
      <c r="D68" s="97"/>
      <c r="E68" s="97"/>
      <c r="F68" s="97"/>
      <c r="G68" s="97"/>
      <c r="H68" s="97"/>
      <c r="I68" s="97"/>
      <c r="J68" s="97"/>
      <c r="K68" s="298"/>
      <c r="L68" s="297"/>
      <c r="M68" s="291"/>
      <c r="N68" s="298"/>
      <c r="O68" s="297"/>
      <c r="P68" s="291"/>
      <c r="Q68" s="298"/>
      <c r="R68" s="297"/>
      <c r="S68" s="291"/>
      <c r="T68" s="97"/>
    </row>
    <row r="69" spans="1:20" x14ac:dyDescent="0.25">
      <c r="A69" s="97"/>
      <c r="B69" s="97"/>
      <c r="C69" s="97"/>
      <c r="D69" s="97"/>
      <c r="E69" s="97"/>
      <c r="F69" s="97"/>
      <c r="G69" s="97"/>
      <c r="H69" s="97"/>
      <c r="I69" s="97"/>
      <c r="J69" s="97"/>
      <c r="K69" s="298">
        <f>K67+1</f>
        <v>2033</v>
      </c>
      <c r="L69" s="296">
        <f ca="1">L11</f>
        <v>22900</v>
      </c>
      <c r="M69" s="290">
        <f ca="1">L16</f>
        <v>162037.25</v>
      </c>
      <c r="N69" s="298">
        <f>N67+1</f>
        <v>2043</v>
      </c>
      <c r="O69" s="296">
        <f ca="1">G32</f>
        <v>29500</v>
      </c>
      <c r="P69" s="290">
        <f ca="1">G37</f>
        <v>72787.650000000023</v>
      </c>
      <c r="Q69" s="298">
        <f>Q67+1</f>
        <v>2053</v>
      </c>
      <c r="R69" s="296">
        <f ca="1">Q32</f>
        <v>35600</v>
      </c>
      <c r="S69" s="290">
        <f ca="1">Q37</f>
        <v>110864.25</v>
      </c>
      <c r="T69" s="97"/>
    </row>
    <row r="70" spans="1:20" x14ac:dyDescent="0.25">
      <c r="A70" s="97"/>
      <c r="B70" s="97"/>
      <c r="C70" s="97"/>
      <c r="D70" s="97"/>
      <c r="E70" s="97"/>
      <c r="F70" s="97"/>
      <c r="G70" s="97"/>
      <c r="H70" s="97"/>
      <c r="I70" s="97"/>
      <c r="J70" s="97"/>
      <c r="K70" s="298"/>
      <c r="L70" s="297"/>
      <c r="M70" s="291"/>
      <c r="N70" s="298"/>
      <c r="O70" s="297"/>
      <c r="P70" s="291"/>
      <c r="Q70" s="298"/>
      <c r="R70" s="297"/>
      <c r="S70" s="291"/>
      <c r="T70" s="97"/>
    </row>
    <row r="71" spans="1:20" x14ac:dyDescent="0.25">
      <c r="A71" s="97"/>
      <c r="B71" s="97"/>
      <c r="C71" s="97"/>
      <c r="D71" s="97"/>
      <c r="E71" s="97"/>
      <c r="F71" s="97"/>
      <c r="G71" s="97"/>
      <c r="H71" s="97"/>
      <c r="I71" s="97"/>
      <c r="J71" s="97"/>
      <c r="K71" s="298">
        <f>K69+1</f>
        <v>2034</v>
      </c>
      <c r="L71" s="296">
        <f ca="1">M11</f>
        <v>23600</v>
      </c>
      <c r="M71" s="290">
        <f ca="1">M16</f>
        <v>179757.85</v>
      </c>
      <c r="N71" s="298">
        <f>N69+1</f>
        <v>2044</v>
      </c>
      <c r="O71" s="296">
        <f ca="1">H32</f>
        <v>29500</v>
      </c>
      <c r="P71" s="290">
        <f ca="1">H37</f>
        <v>104038.65000000002</v>
      </c>
      <c r="Q71" s="298">
        <f>Q69+1</f>
        <v>2054</v>
      </c>
      <c r="R71" s="296">
        <f ca="1">R32</f>
        <v>36700</v>
      </c>
      <c r="S71" s="290">
        <f ca="1">R37</f>
        <v>132581.65</v>
      </c>
      <c r="T71" s="97"/>
    </row>
    <row r="72" spans="1:20" x14ac:dyDescent="0.25">
      <c r="A72" s="97"/>
      <c r="B72" s="97"/>
      <c r="C72" s="97"/>
      <c r="D72" s="97"/>
      <c r="E72" s="97"/>
      <c r="F72" s="97"/>
      <c r="G72" s="97"/>
      <c r="H72" s="97"/>
      <c r="I72" s="97"/>
      <c r="J72" s="97"/>
      <c r="K72" s="298"/>
      <c r="L72" s="297"/>
      <c r="M72" s="291"/>
      <c r="N72" s="298"/>
      <c r="O72" s="297"/>
      <c r="P72" s="291"/>
      <c r="Q72" s="298"/>
      <c r="R72" s="297"/>
      <c r="S72" s="291"/>
      <c r="T72" s="97"/>
    </row>
    <row r="73" spans="1:20" x14ac:dyDescent="0.25">
      <c r="A73" s="97"/>
      <c r="B73" s="97"/>
      <c r="C73" s="97"/>
      <c r="D73" s="97"/>
      <c r="E73" s="97"/>
      <c r="F73" s="97"/>
      <c r="G73" s="97"/>
      <c r="H73" s="97"/>
      <c r="I73" s="97"/>
      <c r="J73" s="97"/>
      <c r="K73" s="298">
        <f>K71+1</f>
        <v>2035</v>
      </c>
      <c r="L73" s="296">
        <f ca="1">N11</f>
        <v>24400</v>
      </c>
      <c r="M73" s="290">
        <f ca="1">N16</f>
        <v>207996.85</v>
      </c>
      <c r="N73" s="298">
        <f>N71+1</f>
        <v>2045</v>
      </c>
      <c r="O73" s="296">
        <f ca="1">I32</f>
        <v>29500</v>
      </c>
      <c r="P73" s="290">
        <f ca="1">I37</f>
        <v>135914.65000000002</v>
      </c>
      <c r="Q73" s="298">
        <f>Q71+1</f>
        <v>2055</v>
      </c>
      <c r="R73" s="296">
        <f ca="1">S32</f>
        <v>37900</v>
      </c>
      <c r="S73" s="290">
        <f ca="1">S37</f>
        <v>173512.65</v>
      </c>
      <c r="T73" s="97"/>
    </row>
    <row r="74" spans="1:20" x14ac:dyDescent="0.25">
      <c r="A74" s="97"/>
      <c r="B74" s="97"/>
      <c r="C74" s="97"/>
      <c r="D74" s="97"/>
      <c r="E74" s="97"/>
      <c r="F74" s="97"/>
      <c r="G74" s="97"/>
      <c r="H74" s="97"/>
      <c r="I74" s="97"/>
      <c r="J74" s="97"/>
      <c r="K74" s="298"/>
      <c r="L74" s="297"/>
      <c r="M74" s="291"/>
      <c r="N74" s="298"/>
      <c r="O74" s="297"/>
      <c r="P74" s="291"/>
      <c r="Q74" s="298"/>
      <c r="R74" s="297"/>
      <c r="S74" s="291"/>
      <c r="T74" s="97"/>
    </row>
    <row r="75" spans="1:20" x14ac:dyDescent="0.25">
      <c r="A75" s="97"/>
      <c r="B75" s="97"/>
      <c r="C75" s="97"/>
      <c r="D75" s="97"/>
      <c r="E75" s="97"/>
      <c r="F75" s="97"/>
      <c r="G75" s="97"/>
      <c r="H75" s="97"/>
      <c r="I75" s="97"/>
      <c r="J75" s="97"/>
      <c r="K75" s="298">
        <f>K73+1</f>
        <v>2036</v>
      </c>
      <c r="L75" s="296">
        <f ca="1">O11</f>
        <v>25200</v>
      </c>
      <c r="M75" s="290">
        <f ca="1">O16</f>
        <v>166266.95000000001</v>
      </c>
      <c r="N75" s="298">
        <f>N73+1</f>
        <v>2046</v>
      </c>
      <c r="O75" s="296">
        <f ca="1">J32</f>
        <v>29500</v>
      </c>
      <c r="P75" s="290">
        <f ca="1">J37</f>
        <v>144534.35000000003</v>
      </c>
      <c r="Q75" s="298">
        <f>Q73+1</f>
        <v>2056</v>
      </c>
      <c r="R75" s="296">
        <f ca="1">T32</f>
        <v>39100</v>
      </c>
      <c r="S75" s="290">
        <f ca="1">T37</f>
        <v>183733.44999999998</v>
      </c>
      <c r="T75" s="97"/>
    </row>
    <row r="76" spans="1:20" ht="15.75" thickBot="1" x14ac:dyDescent="0.3">
      <c r="A76" s="97"/>
      <c r="B76" s="97"/>
      <c r="C76" s="97"/>
      <c r="D76" s="97"/>
      <c r="E76" s="97"/>
      <c r="F76" s="97"/>
      <c r="G76" s="97"/>
      <c r="H76" s="97"/>
      <c r="I76" s="97"/>
      <c r="J76" s="97"/>
      <c r="K76" s="303"/>
      <c r="L76" s="302"/>
      <c r="M76" s="301"/>
      <c r="N76" s="303"/>
      <c r="O76" s="302"/>
      <c r="P76" s="301"/>
      <c r="Q76" s="303"/>
      <c r="R76" s="302"/>
      <c r="S76" s="301"/>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2026</v>
      </c>
      <c r="E992">
        <f>D992+1</f>
        <v>2027</v>
      </c>
      <c r="F992">
        <f t="shared" ref="F992:AH992" si="14">E992+1</f>
        <v>2028</v>
      </c>
      <c r="G992">
        <f t="shared" si="14"/>
        <v>2029</v>
      </c>
      <c r="H992">
        <f t="shared" si="14"/>
        <v>2030</v>
      </c>
      <c r="I992">
        <f t="shared" si="14"/>
        <v>2031</v>
      </c>
      <c r="J992">
        <f t="shared" si="14"/>
        <v>2032</v>
      </c>
      <c r="K992">
        <f t="shared" si="14"/>
        <v>2033</v>
      </c>
      <c r="L992">
        <f t="shared" si="14"/>
        <v>2034</v>
      </c>
      <c r="M992">
        <f t="shared" si="14"/>
        <v>2035</v>
      </c>
      <c r="N992">
        <f t="shared" si="14"/>
        <v>2036</v>
      </c>
      <c r="O992">
        <f t="shared" si="14"/>
        <v>2037</v>
      </c>
      <c r="P992">
        <f t="shared" si="14"/>
        <v>2038</v>
      </c>
      <c r="Q992">
        <f t="shared" si="14"/>
        <v>2039</v>
      </c>
      <c r="R992">
        <f t="shared" si="14"/>
        <v>2040</v>
      </c>
      <c r="S992">
        <f t="shared" si="14"/>
        <v>2041</v>
      </c>
      <c r="T992">
        <f t="shared" si="14"/>
        <v>2042</v>
      </c>
      <c r="U992">
        <f t="shared" si="14"/>
        <v>2043</v>
      </c>
      <c r="V992">
        <f t="shared" si="14"/>
        <v>2044</v>
      </c>
      <c r="W992">
        <f t="shared" si="14"/>
        <v>2045</v>
      </c>
      <c r="X992">
        <f t="shared" si="14"/>
        <v>2046</v>
      </c>
      <c r="Y992">
        <f t="shared" si="14"/>
        <v>2047</v>
      </c>
      <c r="Z992">
        <f t="shared" si="14"/>
        <v>2048</v>
      </c>
      <c r="AA992">
        <f t="shared" si="14"/>
        <v>2049</v>
      </c>
      <c r="AB992">
        <f t="shared" si="14"/>
        <v>2050</v>
      </c>
      <c r="AC992">
        <f t="shared" si="14"/>
        <v>2051</v>
      </c>
      <c r="AD992">
        <f t="shared" si="14"/>
        <v>2052</v>
      </c>
      <c r="AE992">
        <f t="shared" si="14"/>
        <v>2053</v>
      </c>
      <c r="AF992">
        <f t="shared" si="14"/>
        <v>2054</v>
      </c>
      <c r="AG992">
        <f t="shared" si="14"/>
        <v>2055</v>
      </c>
      <c r="AH992">
        <f t="shared" si="14"/>
        <v>2056</v>
      </c>
    </row>
    <row r="993" spans="3:35" x14ac:dyDescent="0.25">
      <c r="C993" t="s">
        <v>132</v>
      </c>
      <c r="D993" s="95">
        <f>E8</f>
        <v>10571</v>
      </c>
      <c r="E993" s="95">
        <f t="shared" ref="E993:S993" ca="1" si="15">F8</f>
        <v>19000</v>
      </c>
      <c r="F993" s="95">
        <f t="shared" ca="1" si="15"/>
        <v>19600</v>
      </c>
      <c r="G993" s="95">
        <f t="shared" ca="1" si="15"/>
        <v>20200</v>
      </c>
      <c r="H993" s="95">
        <f t="shared" ca="1" si="15"/>
        <v>20800</v>
      </c>
      <c r="I993" s="95">
        <f t="shared" ca="1" si="15"/>
        <v>21500</v>
      </c>
      <c r="J993" s="95">
        <f t="shared" ca="1" si="15"/>
        <v>22200</v>
      </c>
      <c r="K993" s="95">
        <f t="shared" ca="1" si="15"/>
        <v>22900</v>
      </c>
      <c r="L993" s="95">
        <f t="shared" ca="1" si="15"/>
        <v>23600</v>
      </c>
      <c r="M993" s="95">
        <f t="shared" ca="1" si="15"/>
        <v>24400</v>
      </c>
      <c r="N993" s="95">
        <f t="shared" ca="1" si="15"/>
        <v>25200</v>
      </c>
      <c r="O993" s="95">
        <f t="shared" ca="1" si="15"/>
        <v>26000</v>
      </c>
      <c r="P993" s="95">
        <f t="shared" ca="1" si="15"/>
        <v>26800</v>
      </c>
      <c r="Q993" s="95">
        <f t="shared" ca="1" si="15"/>
        <v>27700</v>
      </c>
      <c r="R993" s="95">
        <f t="shared" ca="1" si="15"/>
        <v>28600</v>
      </c>
      <c r="S993" s="95">
        <f t="shared" ca="1" si="15"/>
        <v>29500</v>
      </c>
      <c r="T993" s="95">
        <f ca="1">F29</f>
        <v>29500</v>
      </c>
      <c r="U993" s="95">
        <f t="shared" ref="U993:AH995" ca="1" si="16">G29</f>
        <v>29500</v>
      </c>
      <c r="V993" s="95">
        <f t="shared" ca="1" si="16"/>
        <v>29500</v>
      </c>
      <c r="W993" s="95">
        <f t="shared" ca="1" si="16"/>
        <v>29500</v>
      </c>
      <c r="X993" s="95">
        <f t="shared" ca="1" si="16"/>
        <v>29500</v>
      </c>
      <c r="Y993" s="95">
        <f t="shared" ca="1" si="16"/>
        <v>29500</v>
      </c>
      <c r="Z993" s="95">
        <f t="shared" ca="1" si="16"/>
        <v>30400</v>
      </c>
      <c r="AA993" s="95">
        <f t="shared" ca="1" si="16"/>
        <v>31400</v>
      </c>
      <c r="AB993" s="95">
        <f t="shared" ca="1" si="16"/>
        <v>32400</v>
      </c>
      <c r="AC993" s="95">
        <f t="shared" ca="1" si="16"/>
        <v>33400</v>
      </c>
      <c r="AD993" s="95">
        <f t="shared" ca="1" si="16"/>
        <v>34500</v>
      </c>
      <c r="AE993" s="95">
        <f t="shared" ca="1" si="16"/>
        <v>35600</v>
      </c>
      <c r="AF993" s="95">
        <f t="shared" ca="1" si="16"/>
        <v>36700</v>
      </c>
      <c r="AG993" s="95">
        <f t="shared" ca="1" si="16"/>
        <v>37900</v>
      </c>
      <c r="AH993" s="95">
        <f t="shared" ca="1" si="16"/>
        <v>39100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64313</v>
      </c>
      <c r="E996" s="96">
        <f t="shared" ref="E996:S996" ca="1" si="19">F16</f>
        <v>84789</v>
      </c>
      <c r="F996" s="96">
        <f t="shared" ca="1" si="19"/>
        <v>85197.5</v>
      </c>
      <c r="G996" s="96">
        <f t="shared" ca="1" si="19"/>
        <v>80050.45</v>
      </c>
      <c r="H996" s="96">
        <f t="shared" ca="1" si="19"/>
        <v>102659.45</v>
      </c>
      <c r="I996" s="96">
        <f t="shared" ca="1" si="19"/>
        <v>111531.25</v>
      </c>
      <c r="J996" s="96">
        <f t="shared" ca="1" si="19"/>
        <v>136184.25</v>
      </c>
      <c r="K996" s="96">
        <f t="shared" ca="1" si="19"/>
        <v>162037.25</v>
      </c>
      <c r="L996" s="96">
        <f t="shared" ca="1" si="19"/>
        <v>179757.85</v>
      </c>
      <c r="M996" s="96">
        <f t="shared" ca="1" si="19"/>
        <v>207996.85</v>
      </c>
      <c r="N996" s="96">
        <f t="shared" ca="1" si="19"/>
        <v>166266.95000000001</v>
      </c>
      <c r="O996" s="96">
        <f t="shared" ca="1" si="19"/>
        <v>195851.95</v>
      </c>
      <c r="P996" s="96">
        <f t="shared" ca="1" si="19"/>
        <v>151961.45000000001</v>
      </c>
      <c r="Q996" s="96">
        <f t="shared" ca="1" si="19"/>
        <v>153164.05000000002</v>
      </c>
      <c r="R996" s="96">
        <f t="shared" ca="1" si="19"/>
        <v>185113.05000000002</v>
      </c>
      <c r="S996" s="96">
        <f t="shared" ca="1" si="19"/>
        <v>20321.550000000017</v>
      </c>
      <c r="T996" s="96">
        <f ca="1">F37</f>
        <v>50522.550000000017</v>
      </c>
      <c r="U996" s="96">
        <f t="shared" ref="U996:AH996" ca="1" si="20">G37</f>
        <v>72787.650000000023</v>
      </c>
      <c r="V996" s="96">
        <f t="shared" ca="1" si="20"/>
        <v>104038.65000000002</v>
      </c>
      <c r="W996" s="96">
        <f t="shared" ca="1" si="20"/>
        <v>135914.65000000002</v>
      </c>
      <c r="X996" s="96">
        <f t="shared" ca="1" si="20"/>
        <v>144534.35000000003</v>
      </c>
      <c r="Y996" s="96">
        <f t="shared" ca="1" si="20"/>
        <v>177220.35000000003</v>
      </c>
      <c r="Z996" s="96">
        <f t="shared" ca="1" si="20"/>
        <v>171883.25000000003</v>
      </c>
      <c r="AA996" s="96">
        <f t="shared" ca="1" si="20"/>
        <v>166182.95000000001</v>
      </c>
      <c r="AB996" s="96">
        <f t="shared" ca="1" si="20"/>
        <v>105436.75000000001</v>
      </c>
      <c r="AC996" s="96">
        <f t="shared" ca="1" si="20"/>
        <v>37837.25</v>
      </c>
      <c r="AD996" s="96">
        <f t="shared" ca="1" si="20"/>
        <v>73439.25</v>
      </c>
      <c r="AE996" s="96">
        <f t="shared" ca="1" si="20"/>
        <v>110864.25</v>
      </c>
      <c r="AF996" s="96">
        <f t="shared" ca="1" si="20"/>
        <v>132581.65</v>
      </c>
      <c r="AG996" s="96">
        <f t="shared" ca="1" si="20"/>
        <v>173512.65</v>
      </c>
      <c r="AH996" s="96">
        <f t="shared" ca="1" si="20"/>
        <v>183733.44999999998</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98</v>
      </c>
      <c r="D1001">
        <f ca="1">-IF($C1001="",0,INDIRECT("'"&amp; $C1001 &amp; "'!" &amp; "expenditures" &amp; ExpenseTable303[[#Headers],[0]]))</f>
        <v>0</v>
      </c>
      <c r="E1001">
        <f ca="1">-IF($C1001="",0,INDIRECT("'"&amp; $C1001 &amp; "'!" &amp; "expenditures" &amp; ExpenseTable303[[#Headers],[1]]))</f>
        <v>0</v>
      </c>
      <c r="F1001">
        <f ca="1">-IF($C1001="",0,INDIRECT("'"&amp; $C1001 &amp; "'!" &amp; "expenditures" &amp; ExpenseTable303[[#Headers],[2]]))</f>
        <v>-20874.5</v>
      </c>
      <c r="G1001">
        <f ca="1">-IF($C1001="",0,INDIRECT("'"&amp; $C1001 &amp; "'!" &amp; "expenditures" &amp; ExpenseTable303[[#Headers],[3]]))</f>
        <v>-26983.050000000003</v>
      </c>
      <c r="H1001">
        <f ca="1">-IF($C1001="",0,INDIRECT("'"&amp; $C1001 &amp; "'!" &amp; "expenditures" &amp; ExpenseTable303[[#Headers],[4]]))</f>
        <v>0</v>
      </c>
      <c r="I1001">
        <f ca="1">-IF($C1001="",0,INDIRECT("'"&amp; $C1001 &amp; "'!" &amp; "expenditures" &amp; ExpenseTable303[[#Headers],[5]]))</f>
        <v>-14749.2</v>
      </c>
      <c r="J1001">
        <f ca="1">-IF($C1001="",0,INDIRECT("'"&amp; $C1001 &amp; "'!" &amp; "expenditures" &amp; ExpenseTable303[[#Headers],[6]]))</f>
        <v>0</v>
      </c>
      <c r="K1001">
        <f ca="1">-IF($C1001="",0,INDIRECT("'"&amp; $C1001 &amp; "'!" &amp; "expenditures" &amp; ExpenseTable303[[#Headers],[7]]))</f>
        <v>0</v>
      </c>
      <c r="L1001">
        <f ca="1">-IF($C1001="",0,INDIRECT("'"&amp; $C1001 &amp; "'!" &amp; "expenditures" &amp; ExpenseTable303[[#Headers],[8]]))</f>
        <v>-9263.4</v>
      </c>
      <c r="M1001">
        <f ca="1">-IF($C1001="",0,INDIRECT("'"&amp; $C1001 &amp; "'!" &amp; "expenditures" &amp; ExpenseTable303[[#Headers],[9]]))</f>
        <v>0</v>
      </c>
      <c r="N1001">
        <f ca="1">-IF($C1001="",0,INDIRECT("'"&amp; $C1001 &amp; "'!" &amp; "expenditures" &amp; ExpenseTable303[[#Headers],[10]]))</f>
        <v>-70635.899999999994</v>
      </c>
      <c r="O1001">
        <f ca="1">-IF($C1001="",0,INDIRECT("'"&amp; $C1001 &amp; "'!" &amp; "expenditures" &amp; ExpenseTable303[[#Headers],[11]]))</f>
        <v>0</v>
      </c>
      <c r="P1001">
        <f ca="1">-IF($C1001="",0,INDIRECT("'"&amp; $C1001 &amp; "'!" &amp; "expenditures" &amp; ExpenseTable303[[#Headers],[12]]))</f>
        <v>-74134.5</v>
      </c>
      <c r="Q1001">
        <f ca="1">-IF($C1001="",0,INDIRECT("'"&amp; $C1001 &amp; "'!" &amp; "expenditures" &amp; ExpenseTable303[[#Headers],[13]]))</f>
        <v>-29518.400000000001</v>
      </c>
      <c r="R1001">
        <f ca="1">-IF($C1001="",0,INDIRECT("'"&amp; $C1001 &amp; "'!" &amp; "expenditures" &amp; ExpenseTable303[[#Headers],[14]]))</f>
        <v>0</v>
      </c>
      <c r="S1001">
        <f ca="1">-IF($C1001="",0,INDIRECT("'"&amp; $C1001 &amp; "'!" &amp; "expenditures" &amp; ExpenseTable303[[#Headers],[15]]))</f>
        <v>-196325.5</v>
      </c>
      <c r="T1001">
        <f ca="1">-IF($C1001="",0,INDIRECT("'"&amp; $C1001 &amp; "'!" &amp; "expenditures" &amp; ExpenseTable303[[#Headers],[16]]))</f>
        <v>0</v>
      </c>
      <c r="U1001">
        <f ca="1">-IF($C1001="",0,INDIRECT("'"&amp; $C1001 &amp; "'!" &amp; "expenditures" &amp; ExpenseTable303[[#Headers],[17]]))</f>
        <v>-8455.9</v>
      </c>
      <c r="V1001">
        <f ca="1">-IF($C1001="",0,INDIRECT("'"&amp; $C1001 &amp; "'!" &amp; "expenditures" &amp; ExpenseTable303[[#Headers],[18]]))</f>
        <v>0</v>
      </c>
      <c r="W1001">
        <f ca="1">-IF($C1001="",0,INDIRECT("'"&amp; $C1001 &amp; "'!" &amp; "expenditures" &amp; ExpenseTable303[[#Headers],[19]]))</f>
        <v>0</v>
      </c>
      <c r="X1001">
        <f ca="1">-IF($C1001="",0,INDIRECT("'"&amp; $C1001 &amp; "'!" &amp; "expenditures" &amp; ExpenseTable303[[#Headers],[20]]))</f>
        <v>-23657.3</v>
      </c>
      <c r="Y1001">
        <f ca="1">-IF($C1001="",0,INDIRECT("'"&amp; $C1001 &amp; "'!" &amp; "expenditures" &amp; ExpenseTable303[[#Headers],[21]]))</f>
        <v>0</v>
      </c>
      <c r="Z1001">
        <f ca="1">-IF($C1001="",0,INDIRECT("'"&amp; $C1001 &amp; "'!" &amp; "expenditures" &amp; ExpenseTable303[[#Headers],[22]]))</f>
        <v>-39193.1</v>
      </c>
      <c r="AA1001">
        <f ca="1">-IF($C1001="",0,INDIRECT("'"&amp; $C1001 &amp; "'!" &amp; "expenditures" &amp; ExpenseTable303[[#Headers],[23]]))</f>
        <v>-40447.300000000003</v>
      </c>
      <c r="AB1001">
        <f ca="1">-IF($C1001="",0,INDIRECT("'"&amp; $C1001 &amp; "'!" &amp; "expenditures" &amp; ExpenseTable303[[#Headers],[24]]))</f>
        <v>-95835.199999999997</v>
      </c>
      <c r="AC1001">
        <f ca="1">-IF($C1001="",0,INDIRECT("'"&amp; $C1001 &amp; "'!" &amp; "expenditures" &amp; ExpenseTable303[[#Headers],[25]]))</f>
        <v>-102418.5</v>
      </c>
      <c r="AD1001">
        <f ca="1">-IF($C1001="",0,INDIRECT("'"&amp; $C1001 &amp; "'!" &amp; "expenditures" &amp; ExpenseTable303[[#Headers],[26]]))</f>
        <v>0</v>
      </c>
      <c r="AE1001">
        <f ca="1">-IF($C1001="",0,INDIRECT("'"&amp; $C1001 &amp; "'!" &amp; "expenditures" &amp; ExpenseTable303[[#Headers],[27]]))</f>
        <v>0</v>
      </c>
      <c r="AF1001">
        <f ca="1">-IF($C1001="",0,INDIRECT("'"&amp; $C1001 &amp; "'!" &amp; "expenditures" &amp; ExpenseTable303[[#Headers],[28]]))</f>
        <v>-17392.599999999999</v>
      </c>
      <c r="AG1001">
        <f ca="1">-IF($C1001="",0,INDIRECT("'"&amp; $C1001 &amp; "'!" &amp; "expenditures" &amp; ExpenseTable303[[#Headers],[29]]))</f>
        <v>0</v>
      </c>
      <c r="AH1001">
        <f ca="1">-IF($C1001="",0,INDIRECT("'"&amp; $C1001 &amp; "'!" &amp; "expenditures" &amp; ExpenseTable303[[#Headers],[30]]))</f>
        <v>-32416.2</v>
      </c>
    </row>
    <row r="1002" spans="3:35" x14ac:dyDescent="0.25">
      <c r="D1002">
        <f ca="1">-IF($C1002="",0,INDIRECT("'"&amp; $C1002 &amp; "'!" &amp; "expenditures" &amp; ExpenseTable303[[#Headers],[0]]))</f>
        <v>0</v>
      </c>
      <c r="E1002">
        <f ca="1">-IF($C1002="",0,INDIRECT("'"&amp; $C1002 &amp; "'!" &amp; "expenditures" &amp; ExpenseTable303[[#Headers],[1]]))</f>
        <v>0</v>
      </c>
      <c r="F1002">
        <f ca="1">-IF($C1002="",0,INDIRECT("'"&amp; $C1002 &amp; "'!" &amp; "expenditures" &amp; ExpenseTable303[[#Headers],[2]]))</f>
        <v>0</v>
      </c>
      <c r="G1002">
        <f ca="1">-IF($C1002="",0,INDIRECT("'"&amp; $C1002 &amp; "'!" &amp; "expenditures" &amp; ExpenseTable303[[#Headers],[3]]))</f>
        <v>0</v>
      </c>
      <c r="H1002">
        <f ca="1">-IF($C1002="",0,INDIRECT("'"&amp; $C1002 &amp; "'!" &amp; "expenditures" &amp; ExpenseTable303[[#Headers],[4]]))</f>
        <v>0</v>
      </c>
      <c r="I1002">
        <f ca="1">-IF($C1002="",0,INDIRECT("'"&amp; $C1002 &amp; "'!" &amp; "expenditures" &amp; ExpenseTable303[[#Headers],[5]]))</f>
        <v>0</v>
      </c>
      <c r="J1002">
        <f ca="1">-IF($C1002="",0,INDIRECT("'"&amp; $C1002 &amp; "'!" &amp; "expenditures" &amp; ExpenseTable303[[#Headers],[6]]))</f>
        <v>0</v>
      </c>
      <c r="K1002">
        <f ca="1">-IF($C1002="",0,INDIRECT("'"&amp; $C1002 &amp; "'!" &amp; "expenditures" &amp; ExpenseTable303[[#Headers],[7]]))</f>
        <v>0</v>
      </c>
      <c r="L1002">
        <f ca="1">-IF($C1002="",0,INDIRECT("'"&amp; $C1002 &amp; "'!" &amp; "expenditures" &amp; ExpenseTable303[[#Headers],[8]]))</f>
        <v>0</v>
      </c>
      <c r="M1002">
        <f ca="1">-IF($C1002="",0,INDIRECT("'"&amp; $C1002 &amp; "'!" &amp; "expenditures" &amp; ExpenseTable303[[#Headers],[9]]))</f>
        <v>0</v>
      </c>
      <c r="N1002">
        <f ca="1">-IF($C1002="",0,INDIRECT("'"&amp; $C1002 &amp; "'!" &amp; "expenditures" &amp; ExpenseTable303[[#Headers],[10]]))</f>
        <v>0</v>
      </c>
      <c r="O1002">
        <f ca="1">-IF($C1002="",0,INDIRECT("'"&amp; $C1002 &amp; "'!" &amp; "expenditures" &amp; ExpenseTable303[[#Headers],[11]]))</f>
        <v>0</v>
      </c>
      <c r="P1002">
        <f ca="1">-IF($C1002="",0,INDIRECT("'"&amp; $C1002 &amp; "'!" &amp; "expenditures" &amp; ExpenseTable303[[#Headers],[12]]))</f>
        <v>0</v>
      </c>
      <c r="Q1002">
        <f ca="1">-IF($C1002="",0,INDIRECT("'"&amp; $C1002 &amp; "'!" &amp; "expenditures" &amp; ExpenseTable303[[#Headers],[13]]))</f>
        <v>0</v>
      </c>
      <c r="R1002">
        <f ca="1">-IF($C1002="",0,INDIRECT("'"&amp; $C1002 &amp; "'!" &amp; "expenditures" &amp; ExpenseTable303[[#Headers],[14]]))</f>
        <v>0</v>
      </c>
      <c r="S1002">
        <f ca="1">-IF($C1002="",0,INDIRECT("'"&amp; $C1002 &amp; "'!" &amp; "expenditures" &amp; ExpenseTable303[[#Headers],[15]]))</f>
        <v>0</v>
      </c>
      <c r="T1002">
        <f ca="1">-IF($C1002="",0,INDIRECT("'"&amp; $C1002 &amp; "'!" &amp; "expenditures" &amp; ExpenseTable303[[#Headers],[16]]))</f>
        <v>0</v>
      </c>
      <c r="U1002">
        <f ca="1">-IF($C1002="",0,INDIRECT("'"&amp; $C1002 &amp; "'!" &amp; "expenditures" &amp; ExpenseTable303[[#Headers],[17]]))</f>
        <v>0</v>
      </c>
      <c r="V1002">
        <f ca="1">-IF($C1002="",0,INDIRECT("'"&amp; $C1002 &amp; "'!" &amp; "expenditures" &amp; ExpenseTable303[[#Headers],[18]]))</f>
        <v>0</v>
      </c>
      <c r="W1002">
        <f ca="1">-IF($C1002="",0,INDIRECT("'"&amp; $C1002 &amp; "'!" &amp; "expenditures" &amp; ExpenseTable303[[#Headers],[19]]))</f>
        <v>0</v>
      </c>
      <c r="X1002">
        <f ca="1">-IF($C1002="",0,INDIRECT("'"&amp; $C1002 &amp; "'!" &amp; "expenditures" &amp; ExpenseTable303[[#Headers],[20]]))</f>
        <v>0</v>
      </c>
      <c r="Y1002">
        <f ca="1">-IF($C1002="",0,INDIRECT("'"&amp; $C1002 &amp; "'!" &amp; "expenditures" &amp; ExpenseTable303[[#Headers],[21]]))</f>
        <v>0</v>
      </c>
      <c r="Z1002">
        <f ca="1">-IF($C1002="",0,INDIRECT("'"&amp; $C1002 &amp; "'!" &amp; "expenditures" &amp; ExpenseTable303[[#Headers],[22]]))</f>
        <v>0</v>
      </c>
      <c r="AA1002">
        <f ca="1">-IF($C1002="",0,INDIRECT("'"&amp; $C1002 &amp; "'!" &amp; "expenditures" &amp; ExpenseTable303[[#Headers],[23]]))</f>
        <v>0</v>
      </c>
      <c r="AB1002">
        <f ca="1">-IF($C1002="",0,INDIRECT("'"&amp; $C1002 &amp; "'!" &amp; "expenditures" &amp; ExpenseTable303[[#Headers],[24]]))</f>
        <v>0</v>
      </c>
      <c r="AC1002">
        <f ca="1">-IF($C1002="",0,INDIRECT("'"&amp; $C1002 &amp; "'!" &amp; "expenditures" &amp; ExpenseTable303[[#Headers],[25]]))</f>
        <v>0</v>
      </c>
      <c r="AD1002">
        <f ca="1">-IF($C1002="",0,INDIRECT("'"&amp; $C1002 &amp; "'!" &amp; "expenditures" &amp; ExpenseTable303[[#Headers],[26]]))</f>
        <v>0</v>
      </c>
      <c r="AE1002">
        <f ca="1">-IF($C1002="",0,INDIRECT("'"&amp; $C1002 &amp; "'!" &amp; "expenditures" &amp; ExpenseTable303[[#Headers],[27]]))</f>
        <v>0</v>
      </c>
      <c r="AF1002">
        <f ca="1">-IF($C1002="",0,INDIRECT("'"&amp; $C1002 &amp; "'!" &amp; "expenditures" &amp; ExpenseTable303[[#Headers],[28]]))</f>
        <v>0</v>
      </c>
      <c r="AG1002">
        <f ca="1">-IF($C1002="",0,INDIRECT("'"&amp; $C1002 &amp; "'!" &amp; "expenditures" &amp; ExpenseTable303[[#Headers],[29]]))</f>
        <v>0</v>
      </c>
      <c r="AH1002">
        <f ca="1">-IF($C1002="",0,INDIRECT("'"&amp; $C1002 &amp; "'!" &amp; "expenditures" &amp; ExpenseTable303[[#Headers],[30]]))</f>
        <v>0</v>
      </c>
    </row>
    <row r="1003" spans="3:35" x14ac:dyDescent="0.25">
      <c r="C1003" t="s">
        <v>78</v>
      </c>
      <c r="D1003" s="73">
        <f ca="1">SUBTOTAL(109,ExpenseTable303[0])</f>
        <v>0</v>
      </c>
      <c r="E1003" s="73">
        <f ca="1">SUBTOTAL(109,ExpenseTable303[1])</f>
        <v>0</v>
      </c>
      <c r="F1003" s="73">
        <f ca="1">SUBTOTAL(109,ExpenseTable303[2])</f>
        <v>-20874.5</v>
      </c>
      <c r="G1003" s="73">
        <f ca="1">SUBTOTAL(109,ExpenseTable303[3])</f>
        <v>-26983.050000000003</v>
      </c>
      <c r="H1003" s="73">
        <f ca="1">SUBTOTAL(109,ExpenseTable303[4])</f>
        <v>0</v>
      </c>
      <c r="I1003" s="73">
        <f ca="1">SUBTOTAL(109,ExpenseTable303[5])</f>
        <v>-14749.2</v>
      </c>
      <c r="J1003" s="73">
        <f ca="1">SUBTOTAL(109,ExpenseTable303[6])</f>
        <v>0</v>
      </c>
      <c r="K1003" s="73">
        <f ca="1">SUBTOTAL(109,ExpenseTable303[7])</f>
        <v>0</v>
      </c>
      <c r="L1003" s="73">
        <f ca="1">SUBTOTAL(109,ExpenseTable303[8])</f>
        <v>-9263.4</v>
      </c>
      <c r="M1003" s="73">
        <f ca="1">SUBTOTAL(109,ExpenseTable303[9])</f>
        <v>0</v>
      </c>
      <c r="N1003" s="73">
        <f ca="1">SUBTOTAL(109,ExpenseTable303[10])</f>
        <v>-70635.899999999994</v>
      </c>
      <c r="O1003" s="73">
        <f ca="1">SUBTOTAL(109,ExpenseTable303[11])</f>
        <v>0</v>
      </c>
      <c r="P1003" s="73">
        <f ca="1">SUBTOTAL(109,ExpenseTable303[12])</f>
        <v>-74134.5</v>
      </c>
      <c r="Q1003" s="73">
        <f ca="1">SUBTOTAL(109,ExpenseTable303[13])</f>
        <v>-29518.400000000001</v>
      </c>
      <c r="R1003" s="73">
        <f ca="1">SUBTOTAL(109,ExpenseTable303[14])</f>
        <v>0</v>
      </c>
      <c r="S1003" s="73">
        <f ca="1">SUBTOTAL(109,ExpenseTable303[15])</f>
        <v>-196325.5</v>
      </c>
      <c r="T1003" s="73">
        <f ca="1">SUBTOTAL(109,ExpenseTable303[16])</f>
        <v>0</v>
      </c>
      <c r="U1003" s="73">
        <f ca="1">SUBTOTAL(109,ExpenseTable303[17])</f>
        <v>-8455.9</v>
      </c>
      <c r="V1003" s="73">
        <f ca="1">SUBTOTAL(109,ExpenseTable303[18])</f>
        <v>0</v>
      </c>
      <c r="W1003" s="73">
        <f ca="1">SUBTOTAL(109,ExpenseTable303[19])</f>
        <v>0</v>
      </c>
      <c r="X1003" s="73">
        <f ca="1">SUBTOTAL(109,ExpenseTable303[20])</f>
        <v>-23657.3</v>
      </c>
      <c r="Y1003" s="73">
        <f ca="1">SUBTOTAL(109,ExpenseTable303[21])</f>
        <v>0</v>
      </c>
      <c r="Z1003" s="73">
        <f ca="1">SUBTOTAL(109,ExpenseTable303[22])</f>
        <v>-39193.1</v>
      </c>
      <c r="AA1003" s="73">
        <f ca="1">SUBTOTAL(109,ExpenseTable303[23])</f>
        <v>-40447.300000000003</v>
      </c>
      <c r="AB1003" s="73">
        <f ca="1">SUBTOTAL(109,ExpenseTable303[24])</f>
        <v>-95835.199999999997</v>
      </c>
      <c r="AC1003" s="73">
        <f ca="1">SUBTOTAL(109,ExpenseTable303[25])</f>
        <v>-102418.5</v>
      </c>
      <c r="AD1003" s="73">
        <f ca="1">SUBTOTAL(109,ExpenseTable303[26])</f>
        <v>0</v>
      </c>
      <c r="AE1003" s="73">
        <f ca="1">SUBTOTAL(109,ExpenseTable303[27])</f>
        <v>0</v>
      </c>
      <c r="AF1003" s="73">
        <f ca="1">SUBTOTAL(109,ExpenseTable303[28])</f>
        <v>-17392.599999999999</v>
      </c>
      <c r="AG1003" s="73">
        <f ca="1">SUBTOTAL(109,ExpenseTable303[29])</f>
        <v>0</v>
      </c>
      <c r="AH1003" s="73">
        <f ca="1">SUBTOTAL(109,ExpenseTable303[30])</f>
        <v>-32416.2</v>
      </c>
    </row>
    <row r="1004" spans="3:35" x14ac:dyDescent="0.25">
      <c r="AI1004" s="270">
        <f ca="1">MIN(D1005:AH1005)</f>
        <v>0.10350947788239438</v>
      </c>
    </row>
    <row r="1005" spans="3:35" x14ac:dyDescent="0.25">
      <c r="D1005" s="270" t="str">
        <f ca="1">IFERROR(IF(ExpenseTable303[[#Totals],[0]]&lt;&gt;0,-D996/ExpenseTable303[[#Totals],[0]],""),"")</f>
        <v/>
      </c>
      <c r="E1005" s="270" t="str">
        <f ca="1">IFERROR(IF(ExpenseTable303[[#Totals],[1]]&lt;&gt;0,-E996/ExpenseTable303[[#Totals],[1]],""),"")</f>
        <v/>
      </c>
      <c r="F1005" s="270">
        <f ca="1">IFERROR(IF(ExpenseTable303[[#Totals],[2]]&lt;&gt;0,-F996/ExpenseTable303[[#Totals],[2]],""),"")</f>
        <v>4.0814151237155381</v>
      </c>
      <c r="G1005" s="270">
        <f ca="1">IFERROR(IF(ExpenseTable303[[#Totals],[3]]&lt;&gt;0,-G996/ExpenseTable303[[#Totals],[3]],""),"")</f>
        <v>2.9666939059891297</v>
      </c>
      <c r="H1005" s="270" t="str">
        <f ca="1">IFERROR(IF(ExpenseTable303[[#Totals],[4]]&lt;&gt;0,-H996/ExpenseTable303[[#Totals],[4]],""),"")</f>
        <v/>
      </c>
      <c r="I1005" s="270">
        <f ca="1">IFERROR(IF(ExpenseTable303[[#Totals],[5]]&lt;&gt;0,-I996/ExpenseTable303[[#Totals],[5]],""),"")</f>
        <v>7.5618508122474433</v>
      </c>
      <c r="J1005" s="270" t="str">
        <f ca="1">IFERROR(IF(ExpenseTable303[[#Totals],[6]]&lt;&gt;0,-J996/ExpenseTable303[[#Totals],[6]],""),"")</f>
        <v/>
      </c>
      <c r="K1005" s="270" t="str">
        <f ca="1">IFERROR(IF(ExpenseTable303[[#Totals],[7]]&lt;&gt;0,-K996/ExpenseTable303[[#Totals],[7]],""),"")</f>
        <v/>
      </c>
      <c r="L1005" s="270">
        <f ca="1">IFERROR(IF(ExpenseTable303[[#Totals],[8]]&lt;&gt;0,-L996/ExpenseTable303[[#Totals],[8]],""),"")</f>
        <v>19.405169808061835</v>
      </c>
      <c r="M1005" s="270" t="str">
        <f ca="1">IFERROR(IF(ExpenseTable303[[#Totals],[9]]&lt;&gt;0,-M996/ExpenseTable303[[#Totals],[9]],""),"")</f>
        <v/>
      </c>
      <c r="N1005" s="270">
        <f ca="1">IFERROR(IF(ExpenseTable303[[#Totals],[10]]&lt;&gt;0,-N996/ExpenseTable303[[#Totals],[10]],""),"")</f>
        <v>2.3538590150334322</v>
      </c>
      <c r="O1005" s="270" t="str">
        <f ca="1">IFERROR(IF(ExpenseTable303[[#Totals],[11]]&lt;&gt;0,-O996/ExpenseTable303[[#Totals],[11]],""),"")</f>
        <v/>
      </c>
      <c r="P1005" s="270">
        <f ca="1">IFERROR(IF(ExpenseTable303[[#Totals],[12]]&lt;&gt;0,-P996/ExpenseTable303[[#Totals],[12]],""),"")</f>
        <v>2.0498074445770862</v>
      </c>
      <c r="Q1005" s="270">
        <f ca="1">IFERROR(IF(ExpenseTable303[[#Totals],[13]]&lt;&gt;0,-Q996/ExpenseTable303[[#Totals],[13]],""),"")</f>
        <v>5.1887653124830617</v>
      </c>
      <c r="R1005" s="270" t="str">
        <f ca="1">IFERROR(IF(ExpenseTable303[[#Totals],[14]]&lt;&gt;0,-R996/ExpenseTable303[[#Totals],[14]],""),"")</f>
        <v/>
      </c>
      <c r="S1005" s="270">
        <f ca="1">IFERROR(IF(ExpenseTable303[[#Totals],[15]]&lt;&gt;0,-S996/ExpenseTable303[[#Totals],[15]],""),"")</f>
        <v>0.10350947788239438</v>
      </c>
      <c r="T1005" s="270" t="str">
        <f ca="1">IFERROR(IF(ExpenseTable303[[#Totals],[16]]&lt;&gt;0,-T996/ExpenseTable303[[#Totals],[16]],""),"")</f>
        <v/>
      </c>
      <c r="U1005" s="270">
        <f ca="1">IFERROR(IF(ExpenseTable303[[#Totals],[17]]&lt;&gt;0,-U996/ExpenseTable303[[#Totals],[17]],""),"")</f>
        <v>8.607912818268904</v>
      </c>
      <c r="V1005" s="270" t="str">
        <f ca="1">IFERROR(IF(ExpenseTable303[[#Totals],[18]]&lt;&gt;0,-V996/ExpenseTable303[[#Totals],[18]],""),"")</f>
        <v/>
      </c>
      <c r="W1005" s="270" t="str">
        <f ca="1">IFERROR(IF(ExpenseTable303[[#Totals],[19]]&lt;&gt;0,-W996/ExpenseTable303[[#Totals],[19]],""),"")</f>
        <v/>
      </c>
      <c r="X1005" s="270">
        <f ca="1">IFERROR(IF(ExpenseTable303[[#Totals],[20]]&lt;&gt;0,-X996/ExpenseTable303[[#Totals],[20]],""),"")</f>
        <v>6.1095031977444609</v>
      </c>
      <c r="Y1005" s="270" t="str">
        <f ca="1">IFERROR(IF(ExpenseTable303[[#Totals],[21]]&lt;&gt;0,-Y996/ExpenseTable303[[#Totals],[21]],""),"")</f>
        <v/>
      </c>
      <c r="Z1005" s="270">
        <f ca="1">IFERROR(IF(ExpenseTable303[[#Totals],[22]]&lt;&gt;0,-Z996/ExpenseTable303[[#Totals],[22]],""),"")</f>
        <v>4.3855487317920767</v>
      </c>
      <c r="AA1005" s="270">
        <f ca="1">IFERROR(IF(ExpenseTable303[[#Totals],[23]]&lt;&gt;0,-AA996/ExpenseTable303[[#Totals],[23]],""),"")</f>
        <v>4.1086290061388526</v>
      </c>
      <c r="AB1005" s="270">
        <f ca="1">IFERROR(IF(ExpenseTable303[[#Totals],[24]]&lt;&gt;0,-AB996/ExpenseTable303[[#Totals],[24]],""),"")</f>
        <v>1.1001881354658833</v>
      </c>
      <c r="AC1005" s="270">
        <f ca="1">IFERROR(IF(ExpenseTable303[[#Totals],[25]]&lt;&gt;0,-AC996/ExpenseTable303[[#Totals],[25]],""),"")</f>
        <v>0.36943765042448384</v>
      </c>
      <c r="AD1005" s="270" t="str">
        <f ca="1">IFERROR(IF(ExpenseTable303[[#Totals],[26]]&lt;&gt;0,-AD996/ExpenseTable303[[#Totals],[26]],""),"")</f>
        <v/>
      </c>
      <c r="AE1005" s="270" t="str">
        <f ca="1">IFERROR(IF(ExpenseTable303[[#Totals],[27]]&lt;&gt;0,-AE996/ExpenseTable303[[#Totals],[27]],""),"")</f>
        <v/>
      </c>
      <c r="AF1005" s="270">
        <f ca="1">IFERROR(IF(ExpenseTable303[[#Totals],[28]]&lt;&gt;0,-AF996/ExpenseTable303[[#Totals],[28]],""),"")</f>
        <v>7.6228769706656854</v>
      </c>
      <c r="AG1005" s="270" t="str">
        <f ca="1">IFERROR(IF(ExpenseTable303[[#Totals],[29]]&lt;&gt;0,-AG996/ExpenseTable303[[#Totals],[29]],""),"")</f>
        <v/>
      </c>
      <c r="AH1005" s="270">
        <f ca="1">IFERROR(IF(ExpenseTable303[[#Totals],[30]]&lt;&gt;0,-AH996/ExpenseTable303[[#Totals],[30]],""),"")</f>
        <v>5.6679515180681257</v>
      </c>
    </row>
  </sheetData>
  <mergeCells count="107">
    <mergeCell ref="Q75:Q76"/>
    <mergeCell ref="R75:R76"/>
    <mergeCell ref="S75:S76"/>
    <mergeCell ref="K75:K76"/>
    <mergeCell ref="L75:L76"/>
    <mergeCell ref="M75:M76"/>
    <mergeCell ref="N75:N76"/>
    <mergeCell ref="O75:O76"/>
    <mergeCell ref="P75:P76"/>
    <mergeCell ref="S71:S72"/>
    <mergeCell ref="K73:K74"/>
    <mergeCell ref="L73:L74"/>
    <mergeCell ref="M73:M74"/>
    <mergeCell ref="N73:N74"/>
    <mergeCell ref="O73:O74"/>
    <mergeCell ref="P73:P74"/>
    <mergeCell ref="Q73:Q74"/>
    <mergeCell ref="R73:R74"/>
    <mergeCell ref="S73:S74"/>
    <mergeCell ref="R69:R70"/>
    <mergeCell ref="S69:S70"/>
    <mergeCell ref="K71:K72"/>
    <mergeCell ref="L71:L72"/>
    <mergeCell ref="M71:M72"/>
    <mergeCell ref="N71:N72"/>
    <mergeCell ref="O71:O72"/>
    <mergeCell ref="P71:P72"/>
    <mergeCell ref="Q71:Q72"/>
    <mergeCell ref="R71:R72"/>
    <mergeCell ref="Q67:Q68"/>
    <mergeCell ref="R67:R68"/>
    <mergeCell ref="S67:S68"/>
    <mergeCell ref="K69:K70"/>
    <mergeCell ref="L69:L70"/>
    <mergeCell ref="M69:M70"/>
    <mergeCell ref="N69:N70"/>
    <mergeCell ref="O69:O70"/>
    <mergeCell ref="P69:P70"/>
    <mergeCell ref="Q69:Q70"/>
    <mergeCell ref="K67:K68"/>
    <mergeCell ref="L67:L68"/>
    <mergeCell ref="M67:M68"/>
    <mergeCell ref="N67:N68"/>
    <mergeCell ref="O67:O68"/>
    <mergeCell ref="P67:P68"/>
    <mergeCell ref="S63:S64"/>
    <mergeCell ref="K65:K66"/>
    <mergeCell ref="L65:L66"/>
    <mergeCell ref="M65:M66"/>
    <mergeCell ref="N65:N66"/>
    <mergeCell ref="O65:O66"/>
    <mergeCell ref="P65:P66"/>
    <mergeCell ref="Q65:Q66"/>
    <mergeCell ref="R65:R66"/>
    <mergeCell ref="S65:S66"/>
    <mergeCell ref="R61:R62"/>
    <mergeCell ref="S61:S62"/>
    <mergeCell ref="K63:K64"/>
    <mergeCell ref="L63:L64"/>
    <mergeCell ref="M63:M64"/>
    <mergeCell ref="N63:N64"/>
    <mergeCell ref="O63:O64"/>
    <mergeCell ref="P63:P64"/>
    <mergeCell ref="Q63:Q64"/>
    <mergeCell ref="R63:R64"/>
    <mergeCell ref="Q59:Q60"/>
    <mergeCell ref="R59:R60"/>
    <mergeCell ref="S59:S60"/>
    <mergeCell ref="K61:K62"/>
    <mergeCell ref="L61:L62"/>
    <mergeCell ref="M61:M62"/>
    <mergeCell ref="N61:N62"/>
    <mergeCell ref="O61:O62"/>
    <mergeCell ref="P61:P62"/>
    <mergeCell ref="Q61:Q62"/>
    <mergeCell ref="K59:K60"/>
    <mergeCell ref="L59:L60"/>
    <mergeCell ref="M59:M60"/>
    <mergeCell ref="N59:N60"/>
    <mergeCell ref="O59:O60"/>
    <mergeCell ref="P59:P60"/>
    <mergeCell ref="S54:S56"/>
    <mergeCell ref="K57:K58"/>
    <mergeCell ref="L57:L58"/>
    <mergeCell ref="M57:M58"/>
    <mergeCell ref="N57:N58"/>
    <mergeCell ref="O57:O58"/>
    <mergeCell ref="P57:P58"/>
    <mergeCell ref="Q57:Q58"/>
    <mergeCell ref="R57:R58"/>
    <mergeCell ref="S57:S58"/>
    <mergeCell ref="K51:S53"/>
    <mergeCell ref="V51:Y51"/>
    <mergeCell ref="K54:K56"/>
    <mergeCell ref="L54:L56"/>
    <mergeCell ref="M54:M56"/>
    <mergeCell ref="N54:N56"/>
    <mergeCell ref="O54:O56"/>
    <mergeCell ref="P54:P56"/>
    <mergeCell ref="Q54:Q56"/>
    <mergeCell ref="R54:R56"/>
    <mergeCell ref="I20:J20"/>
    <mergeCell ref="K20:L20"/>
    <mergeCell ref="M20:N20"/>
    <mergeCell ref="O20:P20"/>
    <mergeCell ref="Q20:R20"/>
    <mergeCell ref="S20:T20"/>
  </mergeCells>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115</vt:i4>
      </vt:variant>
    </vt:vector>
  </HeadingPairs>
  <TitlesOfParts>
    <vt:vector size="119" baseType="lpstr">
      <vt:lpstr>Property Info</vt:lpstr>
      <vt:lpstr>Use Instructions</vt:lpstr>
      <vt:lpstr>Expenditures</vt:lpstr>
      <vt:lpstr>Funding Plan</vt:lpstr>
      <vt:lpstr>Beginning_Reserve_Balance_Date</vt:lpstr>
      <vt:lpstr>Expenditures!City_State</vt:lpstr>
      <vt:lpstr>'Funding Plan'!City_State</vt:lpstr>
      <vt:lpstr>Client_City</vt:lpstr>
      <vt:lpstr>Client_Long</vt:lpstr>
      <vt:lpstr>Client_State</vt:lpstr>
      <vt:lpstr>'Funding Plan'!contributions_year0</vt:lpstr>
      <vt:lpstr>'Funding Plan'!contributions_year1</vt:lpstr>
      <vt:lpstr>'Funding Plan'!contributions_year10</vt:lpstr>
      <vt:lpstr>'Funding Plan'!contributions_year11</vt:lpstr>
      <vt:lpstr>'Funding Plan'!contributions_year12</vt:lpstr>
      <vt:lpstr>'Funding Plan'!contributions_year13</vt:lpstr>
      <vt:lpstr>'Funding Plan'!contributions_year14</vt:lpstr>
      <vt:lpstr>'Funding Plan'!contributions_year15</vt:lpstr>
      <vt:lpstr>'Funding Plan'!contributions_year16</vt:lpstr>
      <vt:lpstr>'Funding Plan'!contributions_year17</vt:lpstr>
      <vt:lpstr>'Funding Plan'!contributions_year18</vt:lpstr>
      <vt:lpstr>'Funding Plan'!contributions_year19</vt:lpstr>
      <vt:lpstr>'Funding Plan'!contributions_year2</vt:lpstr>
      <vt:lpstr>'Funding Plan'!contributions_year20</vt:lpstr>
      <vt:lpstr>'Funding Plan'!contributions_year21</vt:lpstr>
      <vt:lpstr>'Funding Plan'!contributions_year22</vt:lpstr>
      <vt:lpstr>'Funding Plan'!contributions_year23</vt:lpstr>
      <vt:lpstr>'Funding Plan'!contributions_year24</vt:lpstr>
      <vt:lpstr>'Funding Plan'!contributions_year25</vt:lpstr>
      <vt:lpstr>'Funding Plan'!contributions_year26</vt:lpstr>
      <vt:lpstr>'Funding Plan'!contributions_year27</vt:lpstr>
      <vt:lpstr>'Funding Plan'!contributions_year28</vt:lpstr>
      <vt:lpstr>'Funding Plan'!contributions_year29</vt:lpstr>
      <vt:lpstr>'Funding Plan'!contributions_year3</vt:lpstr>
      <vt:lpstr>'Funding Plan'!contributions_year30</vt:lpstr>
      <vt:lpstr>'Funding Plan'!contributions_year4</vt:lpstr>
      <vt:lpstr>'Funding Plan'!contributions_year5</vt:lpstr>
      <vt:lpstr>'Funding Plan'!contributions_year6</vt:lpstr>
      <vt:lpstr>'Funding Plan'!contributions_year7</vt:lpstr>
      <vt:lpstr>'Funding Plan'!contributions_year8</vt:lpstr>
      <vt:lpstr>'Funding Plan'!contributions_year9</vt:lpstr>
      <vt:lpstr>Currency_Symbol</vt:lpstr>
      <vt:lpstr>Current_Fiscal_Year</vt:lpstr>
      <vt:lpstr>Date_of_Inspection</vt:lpstr>
      <vt:lpstr>Expenditures!expenditures0</vt:lpstr>
      <vt:lpstr>Expenditures!expenditures1</vt:lpstr>
      <vt:lpstr>Expenditures!expenditures10</vt:lpstr>
      <vt:lpstr>Expenditures!expenditures11</vt:lpstr>
      <vt:lpstr>Expenditures!expenditures12</vt:lpstr>
      <vt:lpstr>Expenditures!expenditures13</vt:lpstr>
      <vt:lpstr>Expenditures!expenditures14</vt:lpstr>
      <vt:lpstr>Expenditures!expenditures15</vt:lpstr>
      <vt:lpstr>Expenditures!expenditures16</vt:lpstr>
      <vt:lpstr>Expenditures!expenditures17</vt:lpstr>
      <vt:lpstr>Expenditures!expenditures18</vt:lpstr>
      <vt:lpstr>Expenditures!expenditures19</vt:lpstr>
      <vt:lpstr>Expenditures!expenditures2</vt:lpstr>
      <vt:lpstr>Expenditures!expenditures20</vt:lpstr>
      <vt:lpstr>Expenditures!expenditures21</vt:lpstr>
      <vt:lpstr>Expenditures!expenditures22</vt:lpstr>
      <vt:lpstr>Expenditures!expenditures23</vt:lpstr>
      <vt:lpstr>Expenditures!expenditures24</vt:lpstr>
      <vt:lpstr>Expenditures!expenditures25</vt:lpstr>
      <vt:lpstr>Expenditures!expenditures26</vt:lpstr>
      <vt:lpstr>Expenditures!expenditures27</vt:lpstr>
      <vt:lpstr>Expenditures!expenditures28</vt:lpstr>
      <vt:lpstr>Expenditures!expenditures29</vt:lpstr>
      <vt:lpstr>Expenditures!expenditures3</vt:lpstr>
      <vt:lpstr>Expenditures!expenditures30</vt:lpstr>
      <vt:lpstr>Expenditures!expenditures4</vt:lpstr>
      <vt:lpstr>Expenditures!expenditures5</vt:lpstr>
      <vt:lpstr>Expenditures!expenditures6</vt:lpstr>
      <vt:lpstr>Expenditures!expenditures7</vt:lpstr>
      <vt:lpstr>Expenditures!expenditures8</vt:lpstr>
      <vt:lpstr>Expenditures!expenditures9</vt:lpstr>
      <vt:lpstr>First_Year_of_Recommendation</vt:lpstr>
      <vt:lpstr>Fiscal_Year_Beginning</vt:lpstr>
      <vt:lpstr>'Funding Plan'!flatlineAmount</vt:lpstr>
      <vt:lpstr>'Funding Plan'!flatlineAmount2</vt:lpstr>
      <vt:lpstr>Frequency_of_Contributions_Number</vt:lpstr>
      <vt:lpstr>'Funding Plan'!Funding_Balance</vt:lpstr>
      <vt:lpstr>'Funding Plan'!Funding_Current_Contributions</vt:lpstr>
      <vt:lpstr>'Funding Plan'!Funding_DecreaseAmount</vt:lpstr>
      <vt:lpstr>'Funding Plan'!Funding_DecreaseAmount2</vt:lpstr>
      <vt:lpstr>'Funding Plan'!Funding_DecreaseYear</vt:lpstr>
      <vt:lpstr>'Funding Plan'!Funding_FlatBegin</vt:lpstr>
      <vt:lpstr>'Funding Plan'!Funding_FlatBegin2</vt:lpstr>
      <vt:lpstr>'Funding Plan'!Funding_FlatEnd</vt:lpstr>
      <vt:lpstr>'Funding Plan'!Funding_FlatEnd2</vt:lpstr>
      <vt:lpstr>'Funding Plan'!Funding_InitialFunding</vt:lpstr>
      <vt:lpstr>'Funding Plan'!Funding_Next_Contribitions</vt:lpstr>
      <vt:lpstr>'Funding Plan'!Funding_PhasedAmount</vt:lpstr>
      <vt:lpstr>'Funding Plan'!Funding_PhaseNumbers</vt:lpstr>
      <vt:lpstr>'Funding Plan'!FundingDecreaseYear2</vt:lpstr>
      <vt:lpstr>Inflation</vt:lpstr>
      <vt:lpstr>Interest</vt:lpstr>
      <vt:lpstr>Expenditures!Name1</vt:lpstr>
      <vt:lpstr>'Funding Plan'!Name1</vt:lpstr>
      <vt:lpstr>Expenditures!Name2</vt:lpstr>
      <vt:lpstr>'Funding Plan'!Name2</vt:lpstr>
      <vt:lpstr>Number_of_Buildings</vt:lpstr>
      <vt:lpstr>Number_of_Units</vt:lpstr>
      <vt:lpstr>Operating_Budget</vt:lpstr>
      <vt:lpstr>'Use Instructions'!Print_Area</vt:lpstr>
      <vt:lpstr>Property_Type</vt:lpstr>
      <vt:lpstr>Reference_Number</vt:lpstr>
      <vt:lpstr>Remaining_Budgeted_Months</vt:lpstr>
      <vt:lpstr>Remaining_Interest_Months</vt:lpstr>
      <vt:lpstr>Reserve_Balance_Projected?</vt:lpstr>
      <vt:lpstr>Expenditures!rngBlank</vt:lpstr>
      <vt:lpstr>Expenditures!rngComponent</vt:lpstr>
      <vt:lpstr>Rounded_by</vt:lpstr>
      <vt:lpstr>secondaryInflation</vt:lpstr>
      <vt:lpstr>secondaryInflationYear</vt:lpstr>
      <vt:lpstr>Expenditures!SheetName</vt:lpstr>
      <vt:lpstr>'Funding Plan'!SheetName</vt:lpstr>
      <vt:lpstr>Study_Length</vt:lpstr>
      <vt:lpstr>Expenditures!Total_Study_Expenditures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Keary Wass</dc:creator>
  <cp:keywords/>
  <dc:description/>
  <cp:lastModifiedBy>Nico Deyo</cp:lastModifiedBy>
  <cp:revision/>
  <dcterms:created xsi:type="dcterms:W3CDTF">2022-12-15T15:46:39Z</dcterms:created>
  <dcterms:modified xsi:type="dcterms:W3CDTF">2026-02-26T19:59:45Z</dcterms:modified>
  <cp:category/>
  <cp:contentStatus/>
</cp:coreProperties>
</file>